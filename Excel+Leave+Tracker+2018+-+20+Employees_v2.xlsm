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sumit\Desktop\"/>
    </mc:Choice>
  </mc:AlternateContent>
  <bookViews>
    <workbookView xWindow="0" yWindow="0" windowWidth="23040" windowHeight="9060"/>
  </bookViews>
  <sheets>
    <sheet name="Leave Tracker" sheetId="8" r:id="rId1"/>
    <sheet name="Holidays" sheetId="9" r:id="rId2"/>
    <sheet name="FAQs" sheetId="10" r:id="rId3"/>
    <sheet name="Sheet3" sheetId="5" state="hidden" r:id="rId4"/>
  </sheets>
  <externalReferences>
    <externalReference r:id="rId5"/>
  </externalReferences>
  <definedNames>
    <definedName name="HolidayListNamedRange" localSheetId="2">[1]!HolidayList[Date]</definedName>
    <definedName name="HolidayListNamedRange">HolidayList[Date]</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41547.3902083333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71027"/>
</workbook>
</file>

<file path=xl/calcChain.xml><?xml version="1.0" encoding="utf-8"?>
<calcChain xmlns="http://schemas.openxmlformats.org/spreadsheetml/2006/main">
  <c r="AB3" i="8" l="1"/>
  <c r="NK9" i="8" l="1" a="1"/>
  <c r="NK9" i="8" s="1"/>
  <c r="NK10" i="8" a="1"/>
  <c r="NK10" i="8" s="1"/>
  <c r="NK11" i="8" a="1"/>
  <c r="NK11" i="8" s="1"/>
  <c r="NK12" i="8" a="1"/>
  <c r="NK12" i="8" s="1"/>
  <c r="NK13" i="8" a="1"/>
  <c r="NK13" i="8" s="1"/>
  <c r="NK14" i="8" a="1"/>
  <c r="NK14" i="8" s="1"/>
  <c r="NK15" i="8" a="1"/>
  <c r="NK15" i="8" s="1"/>
  <c r="NK16" i="8" a="1"/>
  <c r="NK16" i="8" s="1"/>
  <c r="NK17" i="8" a="1"/>
  <c r="NK17" i="8" s="1"/>
  <c r="NK18" i="8" a="1"/>
  <c r="NK18" i="8" s="1"/>
  <c r="NK19" i="8" a="1"/>
  <c r="NK19" i="8" s="1"/>
  <c r="NK20" i="8" a="1"/>
  <c r="NK20" i="8" s="1"/>
  <c r="NK21" i="8" a="1"/>
  <c r="NK21" i="8" s="1"/>
  <c r="NK22" i="8" a="1"/>
  <c r="NK22" i="8" s="1"/>
  <c r="NK23" i="8" a="1"/>
  <c r="NK23" i="8" s="1"/>
  <c r="NK24" i="8" a="1"/>
  <c r="NK24" i="8" s="1"/>
  <c r="NK25" i="8" a="1"/>
  <c r="NK25" i="8" s="1"/>
  <c r="NK26" i="8" a="1"/>
  <c r="NK26" i="8" s="1"/>
  <c r="NK27" i="8" a="1"/>
  <c r="NK27" i="8" s="1"/>
  <c r="NK8" i="8" a="1"/>
  <c r="NK8" i="8" s="1"/>
  <c r="NJ9" i="8" a="1"/>
  <c r="NJ9" i="8" s="1"/>
  <c r="NJ10" i="8" a="1"/>
  <c r="NJ10" i="8" s="1"/>
  <c r="NJ11" i="8" a="1"/>
  <c r="NJ11" i="8" s="1"/>
  <c r="NJ12" i="8" a="1"/>
  <c r="NJ12" i="8" s="1"/>
  <c r="NJ13" i="8" a="1"/>
  <c r="NJ13" i="8" s="1"/>
  <c r="NJ14" i="8" a="1"/>
  <c r="NJ14" i="8" s="1"/>
  <c r="NJ15" i="8" a="1"/>
  <c r="NJ15" i="8" s="1"/>
  <c r="NJ16" i="8" a="1"/>
  <c r="NJ16" i="8" s="1"/>
  <c r="NJ17" i="8" a="1"/>
  <c r="NJ17" i="8" s="1"/>
  <c r="NJ18" i="8" a="1"/>
  <c r="NJ18" i="8" s="1"/>
  <c r="NJ19" i="8" a="1"/>
  <c r="NJ19" i="8" s="1"/>
  <c r="NJ20" i="8" a="1"/>
  <c r="NJ20" i="8" s="1"/>
  <c r="NJ21" i="8" a="1"/>
  <c r="NJ21" i="8" s="1"/>
  <c r="NJ22" i="8" a="1"/>
  <c r="NJ22" i="8" s="1"/>
  <c r="NJ23" i="8" a="1"/>
  <c r="NJ23" i="8" s="1"/>
  <c r="NJ24" i="8" a="1"/>
  <c r="NJ24" i="8" s="1"/>
  <c r="NJ25" i="8" a="1"/>
  <c r="NJ25" i="8" s="1"/>
  <c r="NJ26" i="8" a="1"/>
  <c r="NJ26" i="8" s="1"/>
  <c r="NJ27" i="8" a="1"/>
  <c r="NJ27" i="8" s="1"/>
  <c r="NJ8" i="8" a="1"/>
  <c r="NJ8" i="8" s="1"/>
  <c r="NI5" i="8" l="1"/>
  <c r="NH5" i="8"/>
  <c r="NG5" i="8"/>
  <c r="NF5" i="8"/>
  <c r="NE5" i="8"/>
  <c r="ND5" i="8"/>
  <c r="NC5" i="8"/>
  <c r="NB5" i="8"/>
  <c r="NA5" i="8"/>
  <c r="MZ5" i="8"/>
  <c r="MY5" i="8"/>
  <c r="MX5" i="8"/>
  <c r="MW5" i="8"/>
  <c r="MV5" i="8"/>
  <c r="MU5" i="8"/>
  <c r="MT5" i="8"/>
  <c r="MS5" i="8"/>
  <c r="MR5" i="8"/>
  <c r="MQ5" i="8"/>
  <c r="MP5" i="8"/>
  <c r="MO5" i="8"/>
  <c r="MN5" i="8"/>
  <c r="MM5" i="8"/>
  <c r="ML5" i="8"/>
  <c r="MK5" i="8"/>
  <c r="MJ5" i="8"/>
  <c r="MI5" i="8"/>
  <c r="MH5" i="8"/>
  <c r="MG5" i="8"/>
  <c r="MF5" i="8"/>
  <c r="ME5" i="8"/>
  <c r="MD5" i="8"/>
  <c r="MC5" i="8"/>
  <c r="MB5" i="8"/>
  <c r="MA5" i="8"/>
  <c r="LZ5" i="8"/>
  <c r="LY5" i="8"/>
  <c r="LX5" i="8"/>
  <c r="LW5" i="8"/>
  <c r="LV5" i="8"/>
  <c r="LU5" i="8"/>
  <c r="LT5" i="8"/>
  <c r="LS5" i="8"/>
  <c r="LR5" i="8"/>
  <c r="LQ5" i="8"/>
  <c r="LP5" i="8"/>
  <c r="LO5" i="8"/>
  <c r="LN5" i="8"/>
  <c r="LM5" i="8"/>
  <c r="LL5" i="8"/>
  <c r="LK5" i="8"/>
  <c r="LJ5" i="8"/>
  <c r="LI5" i="8"/>
  <c r="LH5" i="8"/>
  <c r="LG5" i="8"/>
  <c r="LF5" i="8"/>
  <c r="LE5" i="8"/>
  <c r="LD5" i="8"/>
  <c r="LC5" i="8"/>
  <c r="LB5" i="8"/>
  <c r="LA5" i="8"/>
  <c r="KZ5" i="8"/>
  <c r="KY5" i="8"/>
  <c r="KX5" i="8"/>
  <c r="KW5" i="8"/>
  <c r="KV5" i="8"/>
  <c r="KU5" i="8"/>
  <c r="KT5" i="8"/>
  <c r="KS5" i="8"/>
  <c r="KR5" i="8"/>
  <c r="KQ5" i="8"/>
  <c r="KP5" i="8"/>
  <c r="KO5" i="8"/>
  <c r="KN5" i="8"/>
  <c r="KM5" i="8"/>
  <c r="KL5" i="8"/>
  <c r="KK5" i="8"/>
  <c r="KJ5" i="8"/>
  <c r="KI5" i="8"/>
  <c r="KH5" i="8"/>
  <c r="KG5" i="8"/>
  <c r="KF5" i="8"/>
  <c r="KE5" i="8"/>
  <c r="KD5" i="8"/>
  <c r="KC5" i="8"/>
  <c r="KB5" i="8"/>
  <c r="KA5" i="8"/>
  <c r="JZ5" i="8"/>
  <c r="JY5" i="8"/>
  <c r="JX5" i="8"/>
  <c r="JW5" i="8"/>
  <c r="JV5" i="8"/>
  <c r="JU5" i="8"/>
  <c r="JT5" i="8"/>
  <c r="JS5" i="8"/>
  <c r="JR5" i="8"/>
  <c r="JQ5" i="8"/>
  <c r="JP5" i="8"/>
  <c r="JO5" i="8"/>
  <c r="JN5" i="8"/>
  <c r="JM5" i="8"/>
  <c r="JL5" i="8"/>
  <c r="JK5" i="8"/>
  <c r="JJ5" i="8"/>
  <c r="JI5" i="8"/>
  <c r="JH5" i="8"/>
  <c r="JG5" i="8"/>
  <c r="JF5" i="8"/>
  <c r="JE5" i="8"/>
  <c r="JD5" i="8"/>
  <c r="JC5" i="8"/>
  <c r="JB5" i="8"/>
  <c r="JA5" i="8"/>
  <c r="IZ5" i="8"/>
  <c r="IY5" i="8"/>
  <c r="IX5" i="8"/>
  <c r="IW5" i="8"/>
  <c r="IV5" i="8"/>
  <c r="IU5" i="8"/>
  <c r="IT5" i="8"/>
  <c r="IS5" i="8"/>
  <c r="IR5" i="8"/>
  <c r="IQ5" i="8"/>
  <c r="IP5" i="8"/>
  <c r="IO5" i="8"/>
  <c r="IN5" i="8"/>
  <c r="IM5" i="8"/>
  <c r="IL5" i="8"/>
  <c r="IK5" i="8"/>
  <c r="IJ5" i="8"/>
  <c r="II5" i="8"/>
  <c r="IH5" i="8"/>
  <c r="IG5" i="8"/>
  <c r="IF5" i="8"/>
  <c r="IE5" i="8"/>
  <c r="ID5" i="8"/>
  <c r="IC5" i="8"/>
  <c r="IB5" i="8"/>
  <c r="IA5" i="8"/>
  <c r="HZ5" i="8"/>
  <c r="HY5" i="8"/>
  <c r="HX5" i="8"/>
  <c r="HW5" i="8"/>
  <c r="HV5" i="8"/>
  <c r="HU5" i="8"/>
  <c r="HT5" i="8"/>
  <c r="HS5" i="8"/>
  <c r="HR5" i="8"/>
  <c r="HQ5" i="8"/>
  <c r="HP5" i="8"/>
  <c r="HO5" i="8"/>
  <c r="HN5" i="8"/>
  <c r="HM5" i="8"/>
  <c r="HL5" i="8"/>
  <c r="HK5" i="8"/>
  <c r="HJ5" i="8"/>
  <c r="HI5" i="8"/>
  <c r="HH5" i="8"/>
  <c r="HG5" i="8"/>
  <c r="HF5" i="8"/>
  <c r="HE5" i="8"/>
  <c r="HD5" i="8"/>
  <c r="HC5" i="8"/>
  <c r="HB5" i="8"/>
  <c r="HA5" i="8"/>
  <c r="GZ5" i="8"/>
  <c r="GY5" i="8"/>
  <c r="GX5" i="8"/>
  <c r="GW5" i="8"/>
  <c r="GV5" i="8"/>
  <c r="GU5" i="8"/>
  <c r="GT5" i="8"/>
  <c r="GS5" i="8"/>
  <c r="GR5" i="8"/>
  <c r="GQ5" i="8"/>
  <c r="GP5" i="8"/>
  <c r="GO5" i="8"/>
  <c r="GN5" i="8"/>
  <c r="GM5" i="8"/>
  <c r="GL5" i="8"/>
  <c r="GK5" i="8"/>
  <c r="GJ5" i="8"/>
  <c r="GI5" i="8"/>
  <c r="GH5" i="8"/>
  <c r="GG5" i="8"/>
  <c r="GF5" i="8"/>
  <c r="GE5" i="8"/>
  <c r="GD5" i="8"/>
  <c r="GC5" i="8"/>
  <c r="GB5" i="8"/>
  <c r="GA5" i="8"/>
  <c r="FZ5" i="8"/>
  <c r="FY5" i="8"/>
  <c r="FX5" i="8"/>
  <c r="FW5" i="8"/>
  <c r="FV5" i="8"/>
  <c r="FU5" i="8"/>
  <c r="FT5" i="8"/>
  <c r="FS5" i="8"/>
  <c r="FR5" i="8"/>
  <c r="FQ5" i="8"/>
  <c r="FP5" i="8"/>
  <c r="FO5" i="8"/>
  <c r="FN5" i="8"/>
  <c r="FM5" i="8"/>
  <c r="FL5" i="8"/>
  <c r="FK5" i="8"/>
  <c r="FJ5" i="8"/>
  <c r="FI5" i="8"/>
  <c r="FH5" i="8"/>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Z5" i="8"/>
  <c r="DY5" i="8"/>
  <c r="DX5" i="8"/>
  <c r="DW5" i="8"/>
  <c r="DV5" i="8"/>
  <c r="DU5" i="8"/>
  <c r="DT5" i="8"/>
  <c r="DS5"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N5" i="8"/>
  <c r="CM5" i="8"/>
  <c r="CL5" i="8"/>
  <c r="CK5" i="8"/>
  <c r="CJ5" i="8"/>
  <c r="CI5" i="8"/>
  <c r="CH5" i="8"/>
  <c r="CG5" i="8"/>
  <c r="CF5" i="8"/>
  <c r="CE5" i="8"/>
  <c r="CD5" i="8"/>
  <c r="CC5" i="8"/>
  <c r="CB5" i="8"/>
  <c r="CA5" i="8"/>
  <c r="BZ5" i="8"/>
  <c r="BY5" i="8"/>
  <c r="BX5" i="8"/>
  <c r="BW5"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D5" i="8"/>
  <c r="C5" i="8"/>
  <c r="B5" i="8"/>
  <c r="NI3" i="8" l="1"/>
  <c r="NH3" i="8"/>
  <c r="NG3" i="8"/>
  <c r="NF3" i="8"/>
  <c r="NE3" i="8"/>
  <c r="ND3" i="8"/>
  <c r="NC3" i="8"/>
  <c r="NB3" i="8"/>
  <c r="NA3" i="8"/>
  <c r="MZ3" i="8"/>
  <c r="MY3" i="8"/>
  <c r="MX3" i="8"/>
  <c r="MW3" i="8"/>
  <c r="MV3" i="8"/>
  <c r="MU3" i="8"/>
  <c r="MT3" i="8"/>
  <c r="MS3" i="8"/>
  <c r="MR3" i="8"/>
  <c r="MQ3" i="8"/>
  <c r="MP3" i="8"/>
  <c r="MO3" i="8"/>
  <c r="MN3" i="8"/>
  <c r="MM3" i="8"/>
  <c r="ML3" i="8"/>
  <c r="MK3" i="8"/>
  <c r="MJ3" i="8"/>
  <c r="MI3" i="8"/>
  <c r="MH3" i="8"/>
  <c r="MG3" i="8"/>
  <c r="MF3" i="8"/>
  <c r="ME3" i="8"/>
  <c r="MD3" i="8"/>
  <c r="MC3" i="8"/>
  <c r="MB3" i="8"/>
  <c r="MA3" i="8"/>
  <c r="LZ3" i="8"/>
  <c r="LY3" i="8"/>
  <c r="LX3" i="8"/>
  <c r="LW3" i="8"/>
  <c r="LV3" i="8"/>
  <c r="LU3" i="8"/>
  <c r="LT3" i="8"/>
  <c r="LS3" i="8"/>
  <c r="LR3" i="8"/>
  <c r="LQ3" i="8"/>
  <c r="LP3" i="8"/>
  <c r="LO3" i="8"/>
  <c r="LN3" i="8"/>
  <c r="LM3" i="8"/>
  <c r="LL3" i="8"/>
  <c r="LK3" i="8"/>
  <c r="LJ3" i="8"/>
  <c r="LI3" i="8"/>
  <c r="LH3" i="8"/>
  <c r="LG3" i="8"/>
  <c r="LF3" i="8"/>
  <c r="LE3" i="8"/>
  <c r="LD3" i="8"/>
  <c r="LC3" i="8"/>
  <c r="LB3" i="8"/>
  <c r="LA3" i="8"/>
  <c r="KZ3" i="8"/>
  <c r="KY3" i="8"/>
  <c r="KX3" i="8"/>
  <c r="KW3" i="8"/>
  <c r="KV3" i="8"/>
  <c r="KU3" i="8"/>
  <c r="KT3" i="8"/>
  <c r="KS3" i="8"/>
  <c r="KR3" i="8"/>
  <c r="KQ3" i="8"/>
  <c r="KP3" i="8"/>
  <c r="KO3" i="8"/>
  <c r="KN3" i="8"/>
  <c r="KM3" i="8"/>
  <c r="KL3" i="8"/>
  <c r="KK3" i="8"/>
  <c r="KJ3" i="8"/>
  <c r="KI3" i="8"/>
  <c r="KH3" i="8"/>
  <c r="KG3" i="8"/>
  <c r="KF3" i="8"/>
  <c r="KE3" i="8"/>
  <c r="KD3" i="8"/>
  <c r="KC3" i="8"/>
  <c r="KB3" i="8"/>
  <c r="KA3" i="8"/>
  <c r="JZ3" i="8"/>
  <c r="JY3" i="8"/>
  <c r="JX3" i="8"/>
  <c r="JW3" i="8"/>
  <c r="JV3" i="8"/>
  <c r="JU3" i="8"/>
  <c r="JT3" i="8"/>
  <c r="JS3" i="8"/>
  <c r="JR3" i="8"/>
  <c r="JQ3" i="8"/>
  <c r="JP3" i="8"/>
  <c r="JO3" i="8"/>
  <c r="JN3" i="8"/>
  <c r="JM3" i="8"/>
  <c r="JL3" i="8"/>
  <c r="JK3" i="8"/>
  <c r="JJ3" i="8"/>
  <c r="JI3" i="8"/>
  <c r="JH3" i="8"/>
  <c r="JG3" i="8"/>
  <c r="JF3" i="8"/>
  <c r="JE3" i="8"/>
  <c r="JD3" i="8"/>
  <c r="JC3" i="8"/>
  <c r="JB3" i="8"/>
  <c r="JA3" i="8"/>
  <c r="IZ3" i="8"/>
  <c r="IY3" i="8"/>
  <c r="IX3" i="8"/>
  <c r="IW3" i="8"/>
  <c r="IV3" i="8"/>
  <c r="IU3" i="8"/>
  <c r="IT3" i="8"/>
  <c r="IS3" i="8"/>
  <c r="IR3" i="8"/>
  <c r="IQ3" i="8"/>
  <c r="IP3" i="8"/>
  <c r="IO3" i="8"/>
  <c r="IN3" i="8"/>
  <c r="IM3" i="8"/>
  <c r="IL3" i="8"/>
  <c r="IK3" i="8"/>
  <c r="IJ3" i="8"/>
  <c r="II3" i="8"/>
  <c r="IH3" i="8"/>
  <c r="IG3" i="8"/>
  <c r="IF3" i="8"/>
  <c r="IE3" i="8"/>
  <c r="ID3" i="8"/>
  <c r="IC3" i="8"/>
  <c r="IB3" i="8"/>
  <c r="IA3" i="8"/>
  <c r="HZ3" i="8"/>
  <c r="HY3" i="8"/>
  <c r="HX3" i="8"/>
  <c r="HW3" i="8"/>
  <c r="HV3" i="8"/>
  <c r="HU3" i="8"/>
  <c r="HT3" i="8"/>
  <c r="HS3" i="8"/>
  <c r="HR3" i="8"/>
  <c r="HQ3" i="8"/>
  <c r="HP3" i="8"/>
  <c r="HO3" i="8"/>
  <c r="HN3" i="8"/>
  <c r="HM3" i="8"/>
  <c r="HL3" i="8"/>
  <c r="HK3" i="8"/>
  <c r="HJ3" i="8"/>
  <c r="HI3" i="8"/>
  <c r="HH3" i="8"/>
  <c r="HG3" i="8"/>
  <c r="HF3" i="8"/>
  <c r="HE3" i="8"/>
  <c r="HD3" i="8"/>
  <c r="HC3" i="8"/>
  <c r="HB3" i="8"/>
  <c r="HA3" i="8"/>
  <c r="GZ3" i="8"/>
  <c r="GY3" i="8"/>
  <c r="GX3" i="8"/>
  <c r="GW3" i="8"/>
  <c r="GV3" i="8"/>
  <c r="GU3" i="8"/>
  <c r="GT3" i="8"/>
  <c r="GS3" i="8"/>
  <c r="GR3" i="8"/>
  <c r="GQ3" i="8"/>
  <c r="GP3" i="8"/>
  <c r="GO3" i="8"/>
  <c r="GN3" i="8"/>
  <c r="GM3" i="8"/>
  <c r="GL3" i="8"/>
  <c r="GK3" i="8"/>
  <c r="GJ3" i="8"/>
  <c r="GI3" i="8"/>
  <c r="GH3" i="8"/>
  <c r="GG3" i="8"/>
  <c r="GF3" i="8"/>
  <c r="GE3" i="8"/>
  <c r="GD3" i="8"/>
  <c r="GC3" i="8"/>
  <c r="GB3" i="8"/>
  <c r="GA3" i="8"/>
  <c r="FZ3" i="8"/>
  <c r="FY3" i="8"/>
  <c r="FX3" i="8"/>
  <c r="FW3" i="8"/>
  <c r="FV3" i="8"/>
  <c r="FU3" i="8"/>
  <c r="FT3" i="8"/>
  <c r="FS3" i="8"/>
  <c r="FR3" i="8"/>
  <c r="FQ3" i="8"/>
  <c r="FP3" i="8"/>
  <c r="FO3" i="8"/>
  <c r="FN3" i="8"/>
  <c r="FM3" i="8"/>
  <c r="FL3" i="8"/>
  <c r="FK3" i="8"/>
  <c r="FJ3" i="8"/>
  <c r="FI3" i="8"/>
  <c r="FH3" i="8"/>
  <c r="FG3" i="8"/>
  <c r="FF3" i="8"/>
  <c r="FE3" i="8"/>
  <c r="FD3" i="8"/>
  <c r="FC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Z3" i="8"/>
  <c r="DY3" i="8"/>
  <c r="DX3" i="8"/>
  <c r="DW3" i="8"/>
  <c r="DV3" i="8"/>
  <c r="DU3" i="8"/>
  <c r="DT3" i="8"/>
  <c r="DS3" i="8"/>
  <c r="DR3" i="8"/>
  <c r="DQ3" i="8"/>
  <c r="DP3" i="8"/>
  <c r="DO3" i="8"/>
  <c r="DN3" i="8"/>
  <c r="DM3" i="8"/>
  <c r="DL3" i="8"/>
  <c r="DK3" i="8"/>
  <c r="DJ3" i="8"/>
  <c r="DI3" i="8"/>
  <c r="DH3" i="8"/>
  <c r="DG3" i="8"/>
  <c r="DF3" i="8"/>
  <c r="DE3" i="8"/>
  <c r="DD3" i="8"/>
  <c r="DC3" i="8"/>
  <c r="DB3" i="8"/>
  <c r="DA3" i="8"/>
  <c r="CZ3" i="8"/>
  <c r="CY3" i="8"/>
  <c r="CX3" i="8"/>
  <c r="CW3" i="8"/>
  <c r="CV3" i="8"/>
  <c r="CU3" i="8"/>
  <c r="CT3" i="8"/>
  <c r="CS3" i="8"/>
  <c r="CR3" i="8"/>
  <c r="CQ3" i="8"/>
  <c r="CP3" i="8"/>
  <c r="CO3" i="8"/>
  <c r="CN3" i="8"/>
  <c r="CM3" i="8"/>
  <c r="CL3" i="8"/>
  <c r="CK3" i="8"/>
  <c r="CJ3" i="8"/>
  <c r="CI3" i="8"/>
  <c r="CH3" i="8"/>
  <c r="CG3" i="8"/>
  <c r="CF3" i="8"/>
  <c r="CE3" i="8"/>
  <c r="CD3" i="8"/>
  <c r="CC3" i="8"/>
  <c r="CB3" i="8"/>
  <c r="CA3" i="8"/>
  <c r="BZ3" i="8"/>
  <c r="BY3" i="8"/>
  <c r="BX3" i="8"/>
  <c r="BW3"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A3" i="8"/>
  <c r="Z3" i="8"/>
  <c r="Y3" i="8"/>
  <c r="X3" i="8"/>
  <c r="W3" i="8"/>
  <c r="V3" i="8"/>
  <c r="U3" i="8"/>
  <c r="T3" i="8"/>
  <c r="S3" i="8"/>
  <c r="R3" i="8"/>
  <c r="Q3" i="8"/>
  <c r="P3" i="8"/>
  <c r="O3" i="8"/>
  <c r="N3" i="8"/>
  <c r="M3" i="8"/>
  <c r="L3" i="8"/>
  <c r="K3" i="8"/>
  <c r="J3" i="8"/>
  <c r="I3" i="8"/>
  <c r="H3" i="8"/>
  <c r="G3" i="8"/>
  <c r="F3" i="8"/>
  <c r="E3" i="8"/>
  <c r="D3" i="8"/>
  <c r="C3" i="8"/>
  <c r="B3" i="8"/>
  <c r="G2" i="5"/>
  <c r="G1" i="5"/>
  <c r="AG6" i="8"/>
  <c r="NU25" i="8" l="1"/>
  <c r="NU21" i="8"/>
  <c r="NU17" i="8"/>
  <c r="NU13" i="8"/>
  <c r="NU9" i="8"/>
  <c r="NT27" i="8"/>
  <c r="NT23" i="8"/>
  <c r="NT19" i="8"/>
  <c r="NT15" i="8"/>
  <c r="NT11" i="8"/>
  <c r="NS25" i="8"/>
  <c r="NS21" i="8"/>
  <c r="NS17" i="8"/>
  <c r="NS13" i="8"/>
  <c r="NS9" i="8"/>
  <c r="NR27" i="8"/>
  <c r="NR23" i="8"/>
  <c r="NR19" i="8"/>
  <c r="NR15" i="8"/>
  <c r="NR11" i="8"/>
  <c r="NQ25" i="8"/>
  <c r="NQ21" i="8"/>
  <c r="NQ17" i="8"/>
  <c r="NQ13" i="8"/>
  <c r="NQ9" i="8"/>
  <c r="NP27" i="8"/>
  <c r="NP23" i="8"/>
  <c r="NU24" i="8"/>
  <c r="NU20" i="8"/>
  <c r="NU16" i="8"/>
  <c r="NU12" i="8"/>
  <c r="NU8" i="8"/>
  <c r="NT26" i="8"/>
  <c r="NT22" i="8"/>
  <c r="NT18" i="8"/>
  <c r="NT14" i="8"/>
  <c r="NT10" i="8"/>
  <c r="NS24" i="8"/>
  <c r="NS20" i="8"/>
  <c r="NS16" i="8"/>
  <c r="NS12" i="8"/>
  <c r="NS8" i="8"/>
  <c r="NR26" i="8"/>
  <c r="NR22" i="8"/>
  <c r="NR18" i="8"/>
  <c r="NR14" i="8"/>
  <c r="NR10" i="8"/>
  <c r="NQ24" i="8"/>
  <c r="NQ20" i="8"/>
  <c r="NQ16" i="8"/>
  <c r="NQ12" i="8"/>
  <c r="NQ8" i="8"/>
  <c r="NP26" i="8"/>
  <c r="NP22" i="8"/>
  <c r="NP18" i="8"/>
  <c r="NP14" i="8"/>
  <c r="NP10" i="8"/>
  <c r="NO24" i="8"/>
  <c r="NO20" i="8"/>
  <c r="NU27" i="8"/>
  <c r="NU23" i="8"/>
  <c r="NU19" i="8"/>
  <c r="NU15" i="8"/>
  <c r="NU11" i="8"/>
  <c r="NT25" i="8"/>
  <c r="NT21" i="8"/>
  <c r="NT17" i="8"/>
  <c r="NT13" i="8"/>
  <c r="NT9" i="8"/>
  <c r="NS27" i="8"/>
  <c r="NS23" i="8"/>
  <c r="NS19" i="8"/>
  <c r="NS15" i="8"/>
  <c r="NS11" i="8"/>
  <c r="NR25" i="8"/>
  <c r="NR21" i="8"/>
  <c r="NR17" i="8"/>
  <c r="NR13" i="8"/>
  <c r="NR9" i="8"/>
  <c r="NQ27" i="8"/>
  <c r="NQ23" i="8"/>
  <c r="NQ19" i="8"/>
  <c r="NQ15" i="8"/>
  <c r="NQ11" i="8"/>
  <c r="NP25" i="8"/>
  <c r="NP21" i="8"/>
  <c r="NP17" i="8"/>
  <c r="NP13" i="8"/>
  <c r="NP9" i="8"/>
  <c r="NU26" i="8"/>
  <c r="NU22" i="8"/>
  <c r="NU18" i="8"/>
  <c r="NU14" i="8"/>
  <c r="NU10" i="8"/>
  <c r="NT24" i="8"/>
  <c r="NT20" i="8"/>
  <c r="NT16" i="8"/>
  <c r="NT12" i="8"/>
  <c r="NT8" i="8"/>
  <c r="NS26" i="8"/>
  <c r="NS22" i="8"/>
  <c r="NS18" i="8"/>
  <c r="NS14" i="8"/>
  <c r="NS10" i="8"/>
  <c r="NR24" i="8"/>
  <c r="NR20" i="8"/>
  <c r="NR16" i="8"/>
  <c r="NR12" i="8"/>
  <c r="NR8" i="8"/>
  <c r="NQ26" i="8"/>
  <c r="NQ22" i="8"/>
  <c r="NQ18" i="8"/>
  <c r="NQ14" i="8"/>
  <c r="NQ10" i="8"/>
  <c r="NP24" i="8"/>
  <c r="NP20" i="8"/>
  <c r="NP16" i="8"/>
  <c r="NP12" i="8"/>
  <c r="NP8" i="8"/>
  <c r="NO26" i="8"/>
  <c r="NP19" i="8"/>
  <c r="NO22" i="8"/>
  <c r="NO17" i="8"/>
  <c r="NO13" i="8"/>
  <c r="NO9" i="8"/>
  <c r="NN27" i="8"/>
  <c r="NN23" i="8"/>
  <c r="NN19" i="8"/>
  <c r="NN15" i="8"/>
  <c r="NN11" i="8"/>
  <c r="NM25" i="8"/>
  <c r="NM21" i="8"/>
  <c r="NM17" i="8"/>
  <c r="NM13" i="8"/>
  <c r="NM9" i="8"/>
  <c r="NL11" i="8"/>
  <c r="NL15" i="8"/>
  <c r="NL19" i="8"/>
  <c r="NL23" i="8"/>
  <c r="NL27" i="8"/>
  <c r="NP15" i="8"/>
  <c r="NO27" i="8"/>
  <c r="NO21" i="8"/>
  <c r="NO16" i="8"/>
  <c r="NO12" i="8"/>
  <c r="NO8" i="8"/>
  <c r="NN26" i="8"/>
  <c r="NN22" i="8"/>
  <c r="NN18" i="8"/>
  <c r="NN14" i="8"/>
  <c r="NN10" i="8"/>
  <c r="NM24" i="8"/>
  <c r="NM20" i="8"/>
  <c r="NM16" i="8"/>
  <c r="NM12" i="8"/>
  <c r="NM8" i="8"/>
  <c r="NL12" i="8"/>
  <c r="NL16" i="8"/>
  <c r="NL20" i="8"/>
  <c r="NL24" i="8"/>
  <c r="NP11" i="8"/>
  <c r="NO25" i="8"/>
  <c r="NO19" i="8"/>
  <c r="NO15" i="8"/>
  <c r="NO11" i="8"/>
  <c r="NN25" i="8"/>
  <c r="NN21" i="8"/>
  <c r="NN17" i="8"/>
  <c r="NN13" i="8"/>
  <c r="NN9" i="8"/>
  <c r="NM27" i="8"/>
  <c r="NM23" i="8"/>
  <c r="NM19" i="8"/>
  <c r="NM15" i="8"/>
  <c r="NM11" i="8"/>
  <c r="NL9" i="8"/>
  <c r="NL13" i="8"/>
  <c r="NL17" i="8"/>
  <c r="NL21" i="8"/>
  <c r="NL25" i="8"/>
  <c r="NO23" i="8"/>
  <c r="NO18" i="8"/>
  <c r="NO14" i="8"/>
  <c r="NO10" i="8"/>
  <c r="NN24" i="8"/>
  <c r="NN20" i="8"/>
  <c r="NN16" i="8"/>
  <c r="NN12" i="8"/>
  <c r="NN8" i="8"/>
  <c r="NM26" i="8"/>
  <c r="NM22" i="8"/>
  <c r="NM18" i="8"/>
  <c r="NM14" i="8"/>
  <c r="NM10" i="8"/>
  <c r="NL10" i="8"/>
  <c r="NL14" i="8"/>
  <c r="NL18" i="8"/>
  <c r="NL22" i="8"/>
  <c r="NL26" i="8"/>
  <c r="NL8" i="8"/>
  <c r="ME6" i="8" l="1"/>
  <c r="ME4" i="8" s="1"/>
  <c r="JU6" i="8"/>
  <c r="JU4" i="8" s="1"/>
  <c r="CQ6" i="8"/>
  <c r="CQ4" i="8" s="1"/>
  <c r="AG4" i="8"/>
  <c r="T6" i="8"/>
  <c r="T4" i="8" s="1"/>
  <c r="S6" i="8"/>
  <c r="S4" i="8" s="1"/>
  <c r="R6" i="8"/>
  <c r="R4" i="8" s="1"/>
  <c r="Q6" i="8"/>
  <c r="Q4" i="8" s="1"/>
  <c r="P6" i="8"/>
  <c r="P4" i="8" s="1"/>
  <c r="O6" i="8"/>
  <c r="O4" i="8" s="1"/>
  <c r="N6" i="8"/>
  <c r="N4" i="8" s="1"/>
  <c r="M6" i="8"/>
  <c r="M4" i="8" s="1"/>
  <c r="L6" i="8"/>
  <c r="L4" i="8" s="1"/>
  <c r="K6" i="8"/>
  <c r="K4" i="8" s="1"/>
  <c r="J6" i="8"/>
  <c r="J4" i="8" s="1"/>
  <c r="I6" i="8"/>
  <c r="I4" i="8" s="1"/>
  <c r="H6" i="8"/>
  <c r="H4" i="8" s="1"/>
  <c r="G6" i="8"/>
  <c r="G4" i="8" s="1"/>
  <c r="F6" i="8"/>
  <c r="F4" i="8" s="1"/>
  <c r="E6" i="8"/>
  <c r="E4" i="8" s="1"/>
  <c r="D6" i="8"/>
  <c r="D4" i="8" s="1"/>
  <c r="C6" i="8"/>
  <c r="C4" i="8" s="1"/>
  <c r="B6" i="8"/>
  <c r="B4" i="8" s="1"/>
  <c r="Z6" i="8" l="1"/>
  <c r="Z4" i="8" s="1"/>
  <c r="AD6" i="8"/>
  <c r="AD4" i="8" s="1"/>
  <c r="AP6" i="8"/>
  <c r="AP4" i="8" s="1"/>
  <c r="BB6" i="8"/>
  <c r="BB4" i="8" s="1"/>
  <c r="BR6" i="8"/>
  <c r="BR4" i="8" s="1"/>
  <c r="CD6" i="8"/>
  <c r="CD4" i="8" s="1"/>
  <c r="CP6" i="8"/>
  <c r="CP4" i="8" s="1"/>
  <c r="CX6" i="8"/>
  <c r="CX4" i="8" s="1"/>
  <c r="DN6" i="8"/>
  <c r="DN4" i="8" s="1"/>
  <c r="DV6" i="8"/>
  <c r="DV4" i="8" s="1"/>
  <c r="EH6" i="8"/>
  <c r="EH4" i="8" s="1"/>
  <c r="ET6" i="8"/>
  <c r="ET4" i="8" s="1"/>
  <c r="FF6" i="8"/>
  <c r="FF4" i="8" s="1"/>
  <c r="FR6" i="8"/>
  <c r="FR4" i="8" s="1"/>
  <c r="GD6" i="8"/>
  <c r="GD4" i="8" s="1"/>
  <c r="GP6" i="8"/>
  <c r="GP4" i="8" s="1"/>
  <c r="GX6" i="8"/>
  <c r="GX4" i="8" s="1"/>
  <c r="HN6" i="8"/>
  <c r="HN4" i="8" s="1"/>
  <c r="HZ6" i="8"/>
  <c r="HZ4" i="8" s="1"/>
  <c r="IH6" i="8"/>
  <c r="IH4" i="8" s="1"/>
  <c r="IX6" i="8"/>
  <c r="IX4" i="8" s="1"/>
  <c r="JJ6" i="8"/>
  <c r="JJ4" i="8" s="1"/>
  <c r="JV6" i="8"/>
  <c r="JV4" i="8" s="1"/>
  <c r="KH6" i="8"/>
  <c r="KH4" i="8" s="1"/>
  <c r="KT6" i="8"/>
  <c r="KT4" i="8" s="1"/>
  <c r="LF6" i="8"/>
  <c r="LF4" i="8" s="1"/>
  <c r="LR6" i="8"/>
  <c r="LR4" i="8" s="1"/>
  <c r="MD6" i="8"/>
  <c r="MD4" i="8" s="1"/>
  <c r="MH6" i="8"/>
  <c r="MH4" i="8" s="1"/>
  <c r="MT6" i="8"/>
  <c r="MT4" i="8" s="1"/>
  <c r="MX6" i="8"/>
  <c r="MX4" i="8" s="1"/>
  <c r="NB6" i="8"/>
  <c r="NB4" i="8" s="1"/>
  <c r="NF6" i="8"/>
  <c r="NF4" i="8" s="1"/>
  <c r="W6" i="8"/>
  <c r="W4" i="8" s="1"/>
  <c r="AA6" i="8"/>
  <c r="AA4" i="8" s="1"/>
  <c r="AE6" i="8"/>
  <c r="AE4" i="8" s="1"/>
  <c r="AI6" i="8"/>
  <c r="AI4" i="8" s="1"/>
  <c r="AM6" i="8"/>
  <c r="AM4" i="8" s="1"/>
  <c r="AQ6" i="8"/>
  <c r="AQ4" i="8" s="1"/>
  <c r="AU6" i="8"/>
  <c r="AU4" i="8" s="1"/>
  <c r="AY6" i="8"/>
  <c r="AY4" i="8" s="1"/>
  <c r="BC6" i="8"/>
  <c r="BC4" i="8" s="1"/>
  <c r="BG6" i="8"/>
  <c r="BG4" i="8" s="1"/>
  <c r="BK6" i="8"/>
  <c r="BK4" i="8" s="1"/>
  <c r="BO6" i="8"/>
  <c r="BO4" i="8" s="1"/>
  <c r="BS6" i="8"/>
  <c r="BS4" i="8" s="1"/>
  <c r="BW6" i="8"/>
  <c r="BW4" i="8" s="1"/>
  <c r="CA6" i="8"/>
  <c r="CA4" i="8" s="1"/>
  <c r="CE6" i="8"/>
  <c r="CE4" i="8" s="1"/>
  <c r="CI6" i="8"/>
  <c r="CI4" i="8" s="1"/>
  <c r="CM6" i="8"/>
  <c r="CM4" i="8" s="1"/>
  <c r="CU6" i="8"/>
  <c r="CU4" i="8" s="1"/>
  <c r="CY6" i="8"/>
  <c r="CY4" i="8" s="1"/>
  <c r="DC6" i="8"/>
  <c r="DC4" i="8" s="1"/>
  <c r="DG6" i="8"/>
  <c r="DG4" i="8" s="1"/>
  <c r="DK6" i="8"/>
  <c r="DK4" i="8" s="1"/>
  <c r="DO6" i="8"/>
  <c r="DO4" i="8" s="1"/>
  <c r="DS6" i="8"/>
  <c r="DS4" i="8" s="1"/>
  <c r="DW6" i="8"/>
  <c r="DW4" i="8" s="1"/>
  <c r="EA6" i="8"/>
  <c r="EA4" i="8" s="1"/>
  <c r="EE6" i="8"/>
  <c r="EE4" i="8" s="1"/>
  <c r="EI6" i="8"/>
  <c r="EI4" i="8" s="1"/>
  <c r="EM6" i="8"/>
  <c r="EM4" i="8" s="1"/>
  <c r="EQ6" i="8"/>
  <c r="EQ4" i="8" s="1"/>
  <c r="EU6" i="8"/>
  <c r="EU4" i="8" s="1"/>
  <c r="EY6" i="8"/>
  <c r="EY4" i="8" s="1"/>
  <c r="FC6" i="8"/>
  <c r="FC4" i="8" s="1"/>
  <c r="FG6" i="8"/>
  <c r="FG4" i="8" s="1"/>
  <c r="FK6" i="8"/>
  <c r="FK4" i="8" s="1"/>
  <c r="FO6" i="8"/>
  <c r="FO4" i="8" s="1"/>
  <c r="FS6" i="8"/>
  <c r="FS4" i="8" s="1"/>
  <c r="FW6" i="8"/>
  <c r="FW4" i="8" s="1"/>
  <c r="GA6" i="8"/>
  <c r="GA4" i="8" s="1"/>
  <c r="GE6" i="8"/>
  <c r="GE4" i="8" s="1"/>
  <c r="GI6" i="8"/>
  <c r="GI4" i="8" s="1"/>
  <c r="GM6" i="8"/>
  <c r="GM4" i="8" s="1"/>
  <c r="GQ6" i="8"/>
  <c r="GQ4" i="8" s="1"/>
  <c r="GU6" i="8"/>
  <c r="GU4" i="8" s="1"/>
  <c r="GY6" i="8"/>
  <c r="GY4" i="8" s="1"/>
  <c r="HC6" i="8"/>
  <c r="HC4" i="8" s="1"/>
  <c r="HG6" i="8"/>
  <c r="HG4" i="8" s="1"/>
  <c r="HK6" i="8"/>
  <c r="HK4" i="8" s="1"/>
  <c r="HO6" i="8"/>
  <c r="HO4" i="8" s="1"/>
  <c r="HS6" i="8"/>
  <c r="HS4" i="8" s="1"/>
  <c r="HW6" i="8"/>
  <c r="HW4" i="8" s="1"/>
  <c r="IA6" i="8"/>
  <c r="IA4" i="8" s="1"/>
  <c r="IE6" i="8"/>
  <c r="IE4" i="8" s="1"/>
  <c r="II6" i="8"/>
  <c r="II4" i="8" s="1"/>
  <c r="IM6" i="8"/>
  <c r="IM4" i="8" s="1"/>
  <c r="IQ6" i="8"/>
  <c r="IQ4" i="8" s="1"/>
  <c r="IU6" i="8"/>
  <c r="IU4" i="8" s="1"/>
  <c r="IY6" i="8"/>
  <c r="IY4" i="8" s="1"/>
  <c r="JC6" i="8"/>
  <c r="JC4" i="8" s="1"/>
  <c r="JG6" i="8"/>
  <c r="JG4" i="8" s="1"/>
  <c r="JK6" i="8"/>
  <c r="JK4" i="8" s="1"/>
  <c r="JO6" i="8"/>
  <c r="JO4" i="8" s="1"/>
  <c r="JS6" i="8"/>
  <c r="JS4" i="8" s="1"/>
  <c r="JW6" i="8"/>
  <c r="JW4" i="8" s="1"/>
  <c r="KA6" i="8"/>
  <c r="KA4" i="8" s="1"/>
  <c r="KE6" i="8"/>
  <c r="KE4" i="8" s="1"/>
  <c r="KI6" i="8"/>
  <c r="KI4" i="8" s="1"/>
  <c r="KM6" i="8"/>
  <c r="KM4" i="8" s="1"/>
  <c r="KQ6" i="8"/>
  <c r="KQ4" i="8" s="1"/>
  <c r="KU6" i="8"/>
  <c r="KU4" i="8" s="1"/>
  <c r="KY6" i="8"/>
  <c r="KY4" i="8" s="1"/>
  <c r="LC6" i="8"/>
  <c r="LC4" i="8" s="1"/>
  <c r="LG6" i="8"/>
  <c r="LG4" i="8" s="1"/>
  <c r="LK6" i="8"/>
  <c r="LK4" i="8" s="1"/>
  <c r="LO6" i="8"/>
  <c r="LO4" i="8" s="1"/>
  <c r="LS6" i="8"/>
  <c r="LS4" i="8" s="1"/>
  <c r="LW6" i="8"/>
  <c r="LW4" i="8" s="1"/>
  <c r="MA6" i="8"/>
  <c r="MA4" i="8" s="1"/>
  <c r="MI6" i="8"/>
  <c r="MI4" i="8" s="1"/>
  <c r="MM6" i="8"/>
  <c r="MM4" i="8" s="1"/>
  <c r="MQ6" i="8"/>
  <c r="MQ4" i="8" s="1"/>
  <c r="MU6" i="8"/>
  <c r="MU4" i="8" s="1"/>
  <c r="MY6" i="8"/>
  <c r="MY4" i="8" s="1"/>
  <c r="NC6" i="8"/>
  <c r="NC4" i="8" s="1"/>
  <c r="NG6" i="8"/>
  <c r="NG4" i="8" s="1"/>
  <c r="AH6" i="8"/>
  <c r="AH4" i="8" s="1"/>
  <c r="AX6" i="8"/>
  <c r="AX4" i="8" s="1"/>
  <c r="BJ6" i="8"/>
  <c r="BJ4" i="8" s="1"/>
  <c r="BV6" i="8"/>
  <c r="BV4" i="8" s="1"/>
  <c r="CH6" i="8"/>
  <c r="CH4" i="8" s="1"/>
  <c r="CT6" i="8"/>
  <c r="CT4" i="8" s="1"/>
  <c r="DF6" i="8"/>
  <c r="DF4" i="8" s="1"/>
  <c r="DR6" i="8"/>
  <c r="DR4" i="8" s="1"/>
  <c r="ED6" i="8"/>
  <c r="ED4" i="8" s="1"/>
  <c r="EP6" i="8"/>
  <c r="EP4" i="8" s="1"/>
  <c r="FB6" i="8"/>
  <c r="FB4" i="8" s="1"/>
  <c r="FN6" i="8"/>
  <c r="FN4" i="8" s="1"/>
  <c r="FZ6" i="8"/>
  <c r="FZ4" i="8" s="1"/>
  <c r="GL6" i="8"/>
  <c r="GL4" i="8" s="1"/>
  <c r="HB6" i="8"/>
  <c r="HB4" i="8" s="1"/>
  <c r="HJ6" i="8"/>
  <c r="HJ4" i="8" s="1"/>
  <c r="ID6" i="8"/>
  <c r="ID4" i="8" s="1"/>
  <c r="IP6" i="8"/>
  <c r="IP4" i="8" s="1"/>
  <c r="JB6" i="8"/>
  <c r="JB4" i="8" s="1"/>
  <c r="JN6" i="8"/>
  <c r="JN4" i="8" s="1"/>
  <c r="JZ6" i="8"/>
  <c r="JZ4" i="8" s="1"/>
  <c r="KL6" i="8"/>
  <c r="KL4" i="8" s="1"/>
  <c r="KX6" i="8"/>
  <c r="KX4" i="8" s="1"/>
  <c r="LJ6" i="8"/>
  <c r="LJ4" i="8" s="1"/>
  <c r="LZ6" i="8"/>
  <c r="LZ4" i="8" s="1"/>
  <c r="MP6" i="8"/>
  <c r="MP4" i="8" s="1"/>
  <c r="AB6" i="8"/>
  <c r="AB4" i="8" s="1"/>
  <c r="AJ6" i="8"/>
  <c r="AJ4" i="8" s="1"/>
  <c r="AN6" i="8"/>
  <c r="AN4" i="8" s="1"/>
  <c r="AR6" i="8"/>
  <c r="AR4" i="8" s="1"/>
  <c r="AV6" i="8"/>
  <c r="AV4" i="8" s="1"/>
  <c r="AZ6" i="8"/>
  <c r="AZ4" i="8" s="1"/>
  <c r="BD6" i="8"/>
  <c r="BD4" i="8" s="1"/>
  <c r="BH6" i="8"/>
  <c r="BH4" i="8" s="1"/>
  <c r="BL6" i="8"/>
  <c r="BL4" i="8" s="1"/>
  <c r="BP6" i="8"/>
  <c r="BP4" i="8" s="1"/>
  <c r="BT6" i="8"/>
  <c r="BT4" i="8" s="1"/>
  <c r="BX6" i="8"/>
  <c r="BX4" i="8" s="1"/>
  <c r="CB6" i="8"/>
  <c r="CB4" i="8" s="1"/>
  <c r="CF6" i="8"/>
  <c r="CF4" i="8" s="1"/>
  <c r="CJ6" i="8"/>
  <c r="CJ4" i="8" s="1"/>
  <c r="CN6" i="8"/>
  <c r="CN4" i="8" s="1"/>
  <c r="CR6" i="8"/>
  <c r="CR4" i="8" s="1"/>
  <c r="CV6" i="8"/>
  <c r="CV4" i="8" s="1"/>
  <c r="CZ6" i="8"/>
  <c r="CZ4" i="8" s="1"/>
  <c r="DD6" i="8"/>
  <c r="DD4" i="8" s="1"/>
  <c r="DH6" i="8"/>
  <c r="DH4" i="8" s="1"/>
  <c r="DL6" i="8"/>
  <c r="DL4" i="8" s="1"/>
  <c r="DP6" i="8"/>
  <c r="DP4" i="8" s="1"/>
  <c r="DT6" i="8"/>
  <c r="DT4" i="8" s="1"/>
  <c r="DX6" i="8"/>
  <c r="DX4" i="8" s="1"/>
  <c r="EB6" i="8"/>
  <c r="EB4" i="8" s="1"/>
  <c r="EF6" i="8"/>
  <c r="EF4" i="8" s="1"/>
  <c r="EJ6" i="8"/>
  <c r="EJ4" i="8" s="1"/>
  <c r="EN6" i="8"/>
  <c r="EN4" i="8" s="1"/>
  <c r="ER6" i="8"/>
  <c r="ER4" i="8" s="1"/>
  <c r="EV6" i="8"/>
  <c r="EV4" i="8" s="1"/>
  <c r="EZ6" i="8"/>
  <c r="EZ4" i="8" s="1"/>
  <c r="FD6" i="8"/>
  <c r="FD4" i="8" s="1"/>
  <c r="FH6" i="8"/>
  <c r="FH4" i="8" s="1"/>
  <c r="FL6" i="8"/>
  <c r="FL4" i="8" s="1"/>
  <c r="FP6" i="8"/>
  <c r="FP4" i="8" s="1"/>
  <c r="FT6" i="8"/>
  <c r="FT4" i="8" s="1"/>
  <c r="FX6" i="8"/>
  <c r="FX4" i="8" s="1"/>
  <c r="GB6" i="8"/>
  <c r="GB4" i="8" s="1"/>
  <c r="GF6" i="8"/>
  <c r="GF4" i="8" s="1"/>
  <c r="GJ6" i="8"/>
  <c r="GJ4" i="8" s="1"/>
  <c r="GN6" i="8"/>
  <c r="GN4" i="8" s="1"/>
  <c r="GR6" i="8"/>
  <c r="GR4" i="8" s="1"/>
  <c r="GV6" i="8"/>
  <c r="GV4" i="8" s="1"/>
  <c r="GZ6" i="8"/>
  <c r="GZ4" i="8" s="1"/>
  <c r="HD6" i="8"/>
  <c r="HD4" i="8" s="1"/>
  <c r="HH6" i="8"/>
  <c r="HH4" i="8" s="1"/>
  <c r="HL6" i="8"/>
  <c r="HL4" i="8" s="1"/>
  <c r="HP6" i="8"/>
  <c r="HP4" i="8" s="1"/>
  <c r="HT6" i="8"/>
  <c r="HT4" i="8" s="1"/>
  <c r="HX6" i="8"/>
  <c r="HX4" i="8" s="1"/>
  <c r="IB6" i="8"/>
  <c r="IB4" i="8" s="1"/>
  <c r="IF6" i="8"/>
  <c r="IF4" i="8" s="1"/>
  <c r="IJ6" i="8"/>
  <c r="IJ4" i="8" s="1"/>
  <c r="IN6" i="8"/>
  <c r="IN4" i="8" s="1"/>
  <c r="IR6" i="8"/>
  <c r="IR4" i="8" s="1"/>
  <c r="IV6" i="8"/>
  <c r="IV4" i="8" s="1"/>
  <c r="IZ6" i="8"/>
  <c r="IZ4" i="8" s="1"/>
  <c r="JD6" i="8"/>
  <c r="JD4" i="8" s="1"/>
  <c r="JH6" i="8"/>
  <c r="JH4" i="8" s="1"/>
  <c r="JL6" i="8"/>
  <c r="JL4" i="8" s="1"/>
  <c r="JP6" i="8"/>
  <c r="JP4" i="8" s="1"/>
  <c r="JT6" i="8"/>
  <c r="JT4" i="8" s="1"/>
  <c r="JX6" i="8"/>
  <c r="JX4" i="8" s="1"/>
  <c r="KB6" i="8"/>
  <c r="KB4" i="8" s="1"/>
  <c r="KF6" i="8"/>
  <c r="KF4" i="8" s="1"/>
  <c r="KJ6" i="8"/>
  <c r="KJ4" i="8" s="1"/>
  <c r="KN6" i="8"/>
  <c r="KN4" i="8" s="1"/>
  <c r="KR6" i="8"/>
  <c r="KR4" i="8" s="1"/>
  <c r="KV6" i="8"/>
  <c r="KV4" i="8" s="1"/>
  <c r="KZ6" i="8"/>
  <c r="KZ4" i="8" s="1"/>
  <c r="LD6" i="8"/>
  <c r="LD4" i="8" s="1"/>
  <c r="LH6" i="8"/>
  <c r="LH4" i="8" s="1"/>
  <c r="LL6" i="8"/>
  <c r="LL4" i="8" s="1"/>
  <c r="LP6" i="8"/>
  <c r="LP4" i="8" s="1"/>
  <c r="LT6" i="8"/>
  <c r="LT4" i="8" s="1"/>
  <c r="LX6" i="8"/>
  <c r="LX4" i="8" s="1"/>
  <c r="MB6" i="8"/>
  <c r="MB4" i="8" s="1"/>
  <c r="MF6" i="8"/>
  <c r="MF4" i="8" s="1"/>
  <c r="MJ6" i="8"/>
  <c r="MJ4" i="8" s="1"/>
  <c r="MN6" i="8"/>
  <c r="MN4" i="8" s="1"/>
  <c r="MR6" i="8"/>
  <c r="MR4" i="8" s="1"/>
  <c r="MV6" i="8"/>
  <c r="MV4" i="8" s="1"/>
  <c r="MZ6" i="8"/>
  <c r="MZ4" i="8" s="1"/>
  <c r="ND6" i="8"/>
  <c r="ND4" i="8" s="1"/>
  <c r="NH6" i="8"/>
  <c r="NH4" i="8" s="1"/>
  <c r="V6" i="8"/>
  <c r="V4" i="8" s="1"/>
  <c r="AL6" i="8"/>
  <c r="AL4" i="8" s="1"/>
  <c r="AT6" i="8"/>
  <c r="AT4" i="8" s="1"/>
  <c r="BF6" i="8"/>
  <c r="BF4" i="8" s="1"/>
  <c r="BN6" i="8"/>
  <c r="BN4" i="8" s="1"/>
  <c r="BZ6" i="8"/>
  <c r="BZ4" i="8" s="1"/>
  <c r="CL6" i="8"/>
  <c r="CL4" i="8" s="1"/>
  <c r="DB6" i="8"/>
  <c r="DB4" i="8" s="1"/>
  <c r="DJ6" i="8"/>
  <c r="DJ4" i="8" s="1"/>
  <c r="DZ6" i="8"/>
  <c r="DZ4" i="8" s="1"/>
  <c r="EL6" i="8"/>
  <c r="EL4" i="8" s="1"/>
  <c r="EX6" i="8"/>
  <c r="EX4" i="8" s="1"/>
  <c r="FJ6" i="8"/>
  <c r="FJ4" i="8" s="1"/>
  <c r="FV6" i="8"/>
  <c r="FV4" i="8" s="1"/>
  <c r="GH6" i="8"/>
  <c r="GH4" i="8" s="1"/>
  <c r="GT6" i="8"/>
  <c r="GT4" i="8" s="1"/>
  <c r="HF6" i="8"/>
  <c r="HF4" i="8" s="1"/>
  <c r="HR6" i="8"/>
  <c r="HR4" i="8" s="1"/>
  <c r="HV6" i="8"/>
  <c r="HV4" i="8" s="1"/>
  <c r="IL6" i="8"/>
  <c r="IL4" i="8" s="1"/>
  <c r="IT6" i="8"/>
  <c r="IT4" i="8" s="1"/>
  <c r="JF6" i="8"/>
  <c r="JF4" i="8" s="1"/>
  <c r="JR6" i="8"/>
  <c r="JR4" i="8" s="1"/>
  <c r="KD6" i="8"/>
  <c r="KD4" i="8" s="1"/>
  <c r="KP6" i="8"/>
  <c r="KP4" i="8" s="1"/>
  <c r="LB6" i="8"/>
  <c r="LB4" i="8" s="1"/>
  <c r="LN6" i="8"/>
  <c r="LN4" i="8" s="1"/>
  <c r="LV6" i="8"/>
  <c r="LV4" i="8" s="1"/>
  <c r="ML6" i="8"/>
  <c r="ML4" i="8" s="1"/>
  <c r="X6" i="8"/>
  <c r="X4" i="8" s="1"/>
  <c r="AF6" i="8"/>
  <c r="AF4" i="8" s="1"/>
  <c r="U6" i="8"/>
  <c r="U4" i="8" s="1"/>
  <c r="Y6" i="8"/>
  <c r="Y4" i="8" s="1"/>
  <c r="AC6" i="8"/>
  <c r="AC4" i="8" s="1"/>
  <c r="AK6" i="8"/>
  <c r="AK4" i="8" s="1"/>
  <c r="AO6" i="8"/>
  <c r="AO4" i="8" s="1"/>
  <c r="AS6" i="8"/>
  <c r="AS4" i="8" s="1"/>
  <c r="AW6" i="8"/>
  <c r="AW4" i="8" s="1"/>
  <c r="BA6" i="8"/>
  <c r="BA4" i="8" s="1"/>
  <c r="BE6" i="8"/>
  <c r="BE4" i="8" s="1"/>
  <c r="BI6" i="8"/>
  <c r="BI4" i="8" s="1"/>
  <c r="BM6" i="8"/>
  <c r="BM4" i="8" s="1"/>
  <c r="BQ6" i="8"/>
  <c r="BQ4" i="8" s="1"/>
  <c r="BU6" i="8"/>
  <c r="BU4" i="8" s="1"/>
  <c r="BY6" i="8"/>
  <c r="BY4" i="8" s="1"/>
  <c r="CC6" i="8"/>
  <c r="CC4" i="8" s="1"/>
  <c r="CG6" i="8"/>
  <c r="CG4" i="8" s="1"/>
  <c r="CK6" i="8"/>
  <c r="CK4" i="8" s="1"/>
  <c r="CO6" i="8"/>
  <c r="CO4" i="8" s="1"/>
  <c r="CS6" i="8"/>
  <c r="CS4" i="8" s="1"/>
  <c r="CW6" i="8"/>
  <c r="CW4" i="8" s="1"/>
  <c r="DA6" i="8"/>
  <c r="DA4" i="8" s="1"/>
  <c r="DE6" i="8"/>
  <c r="DE4" i="8" s="1"/>
  <c r="DI6" i="8"/>
  <c r="DI4" i="8" s="1"/>
  <c r="DM6" i="8"/>
  <c r="DM4" i="8" s="1"/>
  <c r="DQ6" i="8"/>
  <c r="DQ4" i="8" s="1"/>
  <c r="DU6" i="8"/>
  <c r="DU4" i="8" s="1"/>
  <c r="DY6" i="8"/>
  <c r="DY4" i="8" s="1"/>
  <c r="EC6" i="8"/>
  <c r="EC4" i="8" s="1"/>
  <c r="EG6" i="8"/>
  <c r="EG4" i="8" s="1"/>
  <c r="EK6" i="8"/>
  <c r="EK4" i="8" s="1"/>
  <c r="EO6" i="8"/>
  <c r="EO4" i="8" s="1"/>
  <c r="ES6" i="8"/>
  <c r="ES4" i="8" s="1"/>
  <c r="EW6" i="8"/>
  <c r="EW4" i="8" s="1"/>
  <c r="FA6" i="8"/>
  <c r="FA4" i="8" s="1"/>
  <c r="FE6" i="8"/>
  <c r="FE4" i="8" s="1"/>
  <c r="FI6" i="8"/>
  <c r="FI4" i="8" s="1"/>
  <c r="FM6" i="8"/>
  <c r="FM4" i="8" s="1"/>
  <c r="FQ6" i="8"/>
  <c r="FQ4" i="8" s="1"/>
  <c r="FU6" i="8"/>
  <c r="FU4" i="8" s="1"/>
  <c r="FY6" i="8"/>
  <c r="FY4" i="8" s="1"/>
  <c r="GC6" i="8"/>
  <c r="GC4" i="8" s="1"/>
  <c r="GG6" i="8"/>
  <c r="GG4" i="8" s="1"/>
  <c r="GK6" i="8"/>
  <c r="GK4" i="8" s="1"/>
  <c r="GO6" i="8"/>
  <c r="GO4" i="8" s="1"/>
  <c r="GS6" i="8"/>
  <c r="GS4" i="8" s="1"/>
  <c r="GW6" i="8"/>
  <c r="GW4" i="8" s="1"/>
  <c r="HA6" i="8"/>
  <c r="HA4" i="8" s="1"/>
  <c r="HE6" i="8"/>
  <c r="HE4" i="8" s="1"/>
  <c r="HI6" i="8"/>
  <c r="HI4" i="8" s="1"/>
  <c r="HM6" i="8"/>
  <c r="HM4" i="8" s="1"/>
  <c r="HQ6" i="8"/>
  <c r="HQ4" i="8" s="1"/>
  <c r="HU6" i="8"/>
  <c r="HU4" i="8" s="1"/>
  <c r="HY6" i="8"/>
  <c r="HY4" i="8" s="1"/>
  <c r="IC6" i="8"/>
  <c r="IC4" i="8" s="1"/>
  <c r="IG6" i="8"/>
  <c r="IG4" i="8" s="1"/>
  <c r="IK6" i="8"/>
  <c r="IK4" i="8" s="1"/>
  <c r="IO6" i="8"/>
  <c r="IO4" i="8" s="1"/>
  <c r="IS6" i="8"/>
  <c r="IS4" i="8" s="1"/>
  <c r="IW6" i="8"/>
  <c r="IW4" i="8" s="1"/>
  <c r="JA6" i="8"/>
  <c r="JA4" i="8" s="1"/>
  <c r="JE6" i="8"/>
  <c r="JE4" i="8" s="1"/>
  <c r="JI6" i="8"/>
  <c r="JI4" i="8" s="1"/>
  <c r="JM6" i="8"/>
  <c r="JM4" i="8" s="1"/>
  <c r="JQ6" i="8"/>
  <c r="JQ4" i="8" s="1"/>
  <c r="JY6" i="8"/>
  <c r="JY4" i="8" s="1"/>
  <c r="KC6" i="8"/>
  <c r="KC4" i="8" s="1"/>
  <c r="KG6" i="8"/>
  <c r="KG4" i="8" s="1"/>
  <c r="KK6" i="8"/>
  <c r="KK4" i="8" s="1"/>
  <c r="KO6" i="8"/>
  <c r="KO4" i="8" s="1"/>
  <c r="KS6" i="8"/>
  <c r="KS4" i="8" s="1"/>
  <c r="KW6" i="8"/>
  <c r="KW4" i="8" s="1"/>
  <c r="LA6" i="8"/>
  <c r="LA4" i="8" s="1"/>
  <c r="LE6" i="8"/>
  <c r="LE4" i="8" s="1"/>
  <c r="LI6" i="8"/>
  <c r="LI4" i="8" s="1"/>
  <c r="LM6" i="8"/>
  <c r="LM4" i="8" s="1"/>
  <c r="LQ6" i="8"/>
  <c r="LQ4" i="8" s="1"/>
  <c r="LU6" i="8"/>
  <c r="LU4" i="8" s="1"/>
  <c r="LY6" i="8"/>
  <c r="LY4" i="8" s="1"/>
  <c r="MC6" i="8"/>
  <c r="MC4" i="8" s="1"/>
  <c r="MG6" i="8"/>
  <c r="MG4" i="8" s="1"/>
  <c r="MK6" i="8"/>
  <c r="MK4" i="8" s="1"/>
  <c r="MO6" i="8"/>
  <c r="MO4" i="8" s="1"/>
  <c r="MS6" i="8"/>
  <c r="MS4" i="8" s="1"/>
  <c r="MW6" i="8"/>
  <c r="MW4" i="8" s="1"/>
  <c r="NA6" i="8"/>
  <c r="NA4" i="8" s="1"/>
  <c r="NE6" i="8"/>
  <c r="NE4" i="8" s="1"/>
  <c r="NI6" i="8"/>
  <c r="NI4" i="8" s="1"/>
  <c r="AD7" i="8"/>
  <c r="V7" i="8" l="1"/>
  <c r="F7" i="8"/>
  <c r="E7" i="8"/>
  <c r="D7" i="8"/>
  <c r="R7" i="8"/>
  <c r="AF7" i="8"/>
  <c r="Z7" i="8"/>
  <c r="J7" i="8"/>
  <c r="X7" i="8"/>
  <c r="Y7" i="8"/>
  <c r="I7" i="8"/>
  <c r="L7" i="8"/>
  <c r="W7" i="8"/>
  <c r="G7" i="8"/>
  <c r="P7" i="8"/>
  <c r="S7" i="8"/>
  <c r="B7" i="8"/>
  <c r="H7" i="8"/>
  <c r="Q7" i="8"/>
  <c r="AB7" i="8"/>
  <c r="AE7" i="8"/>
  <c r="O7" i="8"/>
  <c r="U7" i="8"/>
  <c r="C7" i="8"/>
  <c r="N7" i="8"/>
  <c r="AC7" i="8"/>
  <c r="M7" i="8"/>
  <c r="T7" i="8"/>
  <c r="AA7" i="8"/>
  <c r="K7" i="8"/>
</calcChain>
</file>

<file path=xl/sharedStrings.xml><?xml version="1.0" encoding="utf-8"?>
<sst xmlns="http://schemas.openxmlformats.org/spreadsheetml/2006/main" count="109" uniqueCount="87">
  <si>
    <t>February</t>
  </si>
  <si>
    <t>March</t>
  </si>
  <si>
    <t>April</t>
  </si>
  <si>
    <t>May</t>
  </si>
  <si>
    <t>June</t>
  </si>
  <si>
    <t>July</t>
  </si>
  <si>
    <t>August</t>
  </si>
  <si>
    <t>September</t>
  </si>
  <si>
    <t>October</t>
  </si>
  <si>
    <t>November</t>
  </si>
  <si>
    <t>December</t>
  </si>
  <si>
    <t>Mon</t>
  </si>
  <si>
    <t>Tue</t>
  </si>
  <si>
    <t>Wed</t>
  </si>
  <si>
    <t>Thu</t>
  </si>
  <si>
    <t>Fri</t>
  </si>
  <si>
    <t>Sat</t>
  </si>
  <si>
    <t>Sun</t>
  </si>
  <si>
    <t>Week #</t>
  </si>
  <si>
    <t>January</t>
  </si>
  <si>
    <t>Holiday</t>
  </si>
  <si>
    <t>Date</t>
  </si>
  <si>
    <t>New Year Day</t>
  </si>
  <si>
    <t>Martin Luther King Junior Day</t>
  </si>
  <si>
    <t>President's Day</t>
  </si>
  <si>
    <t>Easter</t>
  </si>
  <si>
    <t>Memorial Day</t>
  </si>
  <si>
    <t>Independence Day</t>
  </si>
  <si>
    <t>Labor Day</t>
  </si>
  <si>
    <t>Columbus Day</t>
  </si>
  <si>
    <t>Veterans Day</t>
  </si>
  <si>
    <t>Thanksgiving Day</t>
  </si>
  <si>
    <t>Christmas Day</t>
  </si>
  <si>
    <t>Sick Leave</t>
  </si>
  <si>
    <t>Vacation</t>
  </si>
  <si>
    <t>Casual Leave</t>
  </si>
  <si>
    <t>S</t>
  </si>
  <si>
    <t>V</t>
  </si>
  <si>
    <t>M</t>
  </si>
  <si>
    <t>C</t>
  </si>
  <si>
    <t>Employee 1</t>
  </si>
  <si>
    <t>Employee 2</t>
  </si>
  <si>
    <t>Employee 3</t>
  </si>
  <si>
    <t>Employee 4</t>
  </si>
  <si>
    <t>Employee 5</t>
  </si>
  <si>
    <t>Employee 6</t>
  </si>
  <si>
    <t>Employee 7</t>
  </si>
  <si>
    <t>Employee 8</t>
  </si>
  <si>
    <t>Employee 9</t>
  </si>
  <si>
    <t>Employee 10</t>
  </si>
  <si>
    <t>Name</t>
  </si>
  <si>
    <t xml:space="preserve">Maternity Leave </t>
  </si>
  <si>
    <t>Select Working Days</t>
  </si>
  <si>
    <t>No</t>
  </si>
  <si>
    <t>Yes</t>
  </si>
  <si>
    <t>Leaves This Month</t>
  </si>
  <si>
    <t>Leaves This Year</t>
  </si>
  <si>
    <t>Leave Breakup</t>
  </si>
  <si>
    <t>Employee 11</t>
  </si>
  <si>
    <t>Employee 12</t>
  </si>
  <si>
    <t>Employee 13</t>
  </si>
  <si>
    <t>Employee 14</t>
  </si>
  <si>
    <t>Employee 15</t>
  </si>
  <si>
    <t>Employee 16</t>
  </si>
  <si>
    <t>Employee 17</t>
  </si>
  <si>
    <t>Employee 18</t>
  </si>
  <si>
    <t>Employee 19</t>
  </si>
  <si>
    <t>Employee 20</t>
  </si>
  <si>
    <t>H1</t>
  </si>
  <si>
    <t>H2</t>
  </si>
  <si>
    <t>Paternity Leave</t>
  </si>
  <si>
    <t>P</t>
  </si>
  <si>
    <t>Leave Name</t>
  </si>
  <si>
    <t>Code</t>
  </si>
  <si>
    <t xml:space="preserve">Compassionate </t>
  </si>
  <si>
    <t>Co</t>
  </si>
  <si>
    <t>W</t>
  </si>
  <si>
    <t>Work from Home</t>
  </si>
  <si>
    <t>O</t>
  </si>
  <si>
    <t>Comp OFF</t>
  </si>
  <si>
    <t>Half Day Leave 1</t>
  </si>
  <si>
    <t>Half Day Leave 2</t>
  </si>
  <si>
    <t>FAQs</t>
  </si>
  <si>
    <t>Q: I tried downloading the file but it downloaded as a zip. How do I use it?
A: I have fixed this issue, and now you should be able to download the Excel file directly.</t>
  </si>
  <si>
    <t>Q: When I change the month, the exiting leaves are reflected in the changed month as well.
A: This happens when you use cell A1 to change the month. You need to use the arrow icons to change months. Cell A1 is to be used only to set the starting month of the calendar. For example, if you want the calendar to start from April, make cell A1 value 4. Now to move to March, use the triangle icons.</t>
  </si>
  <si>
    <t>Q: I need to track multiple years of leaves. Do I need to create a new worksheet for each year (financial year)?
A: Yes! This leave tracker can only track leaves for a 12 month period. You need to create a copy for each year.</t>
  </si>
  <si>
    <t xml:space="preserve">
Q: Can I use my own leave codes?
A: Yes! You can change the leave code in cells NX8:NX17. You also need to specify the same code in cells NL5:NU5. For example, if you change the Work from Home leave code to X, you also need to change it in NR5.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</si>
</sst>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
    <numFmt numFmtId="165" formatCode=";;;"/>
    <numFmt numFmtId="166" formatCode="dd\ mmm\,\ yyyy"/>
    <numFmt numFmtId="167" formatCode="General;General;"/>
  </numFmts>
  <fonts count="12" x14ac:knownFonts="1">
    <font>
      <sz val="11"/>
      <color theme="1"/>
      <name val="Calibri"/>
      <family val="2"/>
      <scheme val="minor"/>
    </font>
    <font>
      <sz val="8"/>
      <color theme="1"/>
      <name val="Calibri"/>
      <family val="2"/>
      <scheme val="minor"/>
    </font>
    <font>
      <i/>
      <sz val="11"/>
      <color theme="1"/>
      <name val="Calibri"/>
      <family val="2"/>
      <scheme val="minor"/>
    </font>
    <font>
      <b/>
      <i/>
      <sz val="11"/>
      <color theme="1"/>
      <name val="Calibri"/>
      <family val="2"/>
      <scheme val="minor"/>
    </font>
    <font>
      <b/>
      <i/>
      <sz val="9"/>
      <color theme="1"/>
      <name val="Calibri"/>
      <family val="2"/>
      <scheme val="minor"/>
    </font>
    <font>
      <b/>
      <i/>
      <sz val="12"/>
      <color theme="1"/>
      <name val="Calibri"/>
      <family val="2"/>
      <scheme val="minor"/>
    </font>
    <font>
      <i/>
      <sz val="11"/>
      <name val="Calibri"/>
      <family val="2"/>
      <scheme val="minor"/>
    </font>
    <font>
      <sz val="10"/>
      <color theme="1"/>
      <name val="Calibri"/>
      <family val="2"/>
      <scheme val="minor"/>
    </font>
    <font>
      <b/>
      <i/>
      <sz val="11"/>
      <color theme="4" tint="-0.249977111117893"/>
      <name val="Calibri"/>
      <family val="2"/>
      <scheme val="minor"/>
    </font>
    <font>
      <i/>
      <sz val="9"/>
      <color theme="3" tint="0.39997558519241921"/>
      <name val="Calibri"/>
      <family val="2"/>
      <scheme val="minor"/>
    </font>
    <font>
      <b/>
      <sz val="11"/>
      <color theme="1"/>
      <name val="Calibri"/>
      <family val="2"/>
      <scheme val="minor"/>
    </font>
    <font>
      <b/>
      <sz val="16"/>
      <color theme="0"/>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43">
    <xf numFmtId="0" fontId="0" fillId="0" borderId="0" xfId="0"/>
    <xf numFmtId="0" fontId="0" fillId="0" borderId="1" xfId="0" applyBorder="1"/>
    <xf numFmtId="0" fontId="0" fillId="0" borderId="1" xfId="0" applyFill="1" applyBorder="1"/>
    <xf numFmtId="0" fontId="2" fillId="0" borderId="0" xfId="0" applyFont="1" applyBorder="1"/>
    <xf numFmtId="0" fontId="3" fillId="2" borderId="1" xfId="0" applyFont="1" applyFill="1" applyBorder="1"/>
    <xf numFmtId="0" fontId="2" fillId="0" borderId="0" xfId="0" applyFont="1" applyBorder="1" applyAlignment="1">
      <alignment horizontal="center" vertical="center"/>
    </xf>
    <xf numFmtId="0" fontId="0" fillId="0" borderId="1" xfId="0" applyFont="1" applyBorder="1"/>
    <xf numFmtId="14" fontId="0" fillId="0" borderId="0" xfId="0" applyNumberFormat="1"/>
    <xf numFmtId="164" fontId="1" fillId="2" borderId="1" xfId="0" applyNumberFormat="1" applyFont="1" applyFill="1" applyBorder="1" applyAlignment="1">
      <alignment horizontal="center" vertical="center"/>
    </xf>
    <xf numFmtId="15" fontId="0" fillId="0" borderId="0" xfId="0" applyNumberFormat="1"/>
    <xf numFmtId="16" fontId="1" fillId="2" borderId="1" xfId="0" applyNumberFormat="1" applyFont="1" applyFill="1" applyBorder="1" applyAlignment="1">
      <alignment horizontal="center" vertical="center"/>
    </xf>
    <xf numFmtId="0" fontId="5" fillId="4" borderId="1" xfId="0" applyFont="1" applyFill="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165" fontId="6" fillId="0" borderId="0" xfId="0" applyNumberFormat="1" applyFont="1" applyBorder="1" applyAlignment="1">
      <alignment horizontal="center" vertical="center"/>
    </xf>
    <xf numFmtId="0" fontId="0" fillId="5" borderId="1" xfId="0" applyFill="1" applyBorder="1"/>
    <xf numFmtId="0" fontId="0" fillId="5" borderId="1" xfId="0" applyFill="1" applyBorder="1" applyAlignment="1">
      <alignment horizontal="center"/>
    </xf>
    <xf numFmtId="165" fontId="2" fillId="0" borderId="0" xfId="0" applyNumberFormat="1" applyFont="1" applyBorder="1"/>
    <xf numFmtId="0" fontId="0" fillId="0" borderId="4" xfId="0" applyBorder="1"/>
    <xf numFmtId="0" fontId="8" fillId="7" borderId="4" xfId="0" applyFont="1" applyFill="1" applyBorder="1" applyAlignment="1">
      <alignment horizontal="centerContinuous"/>
    </xf>
    <xf numFmtId="0" fontId="7" fillId="0" borderId="1" xfId="0" applyFont="1" applyBorder="1"/>
    <xf numFmtId="166" fontId="7" fillId="0" borderId="1" xfId="0" applyNumberFormat="1" applyFont="1" applyBorder="1"/>
    <xf numFmtId="0" fontId="0" fillId="8" borderId="1" xfId="0" applyFill="1" applyBorder="1" applyAlignment="1">
      <alignment horizontal="center"/>
    </xf>
    <xf numFmtId="0" fontId="9" fillId="0" borderId="0" xfId="0" applyFont="1" applyAlignment="1">
      <alignment horizontal="left" indent="1"/>
    </xf>
    <xf numFmtId="1" fontId="1" fillId="3" borderId="1" xfId="0" applyNumberFormat="1" applyFont="1" applyFill="1" applyBorder="1" applyAlignment="1">
      <alignment horizontal="center" vertical="center"/>
    </xf>
    <xf numFmtId="0" fontId="0" fillId="8" borderId="1" xfId="0" applyFill="1" applyBorder="1"/>
    <xf numFmtId="0" fontId="0" fillId="6" borderId="1" xfId="0" applyFill="1" applyBorder="1"/>
    <xf numFmtId="167" fontId="0" fillId="6" borderId="1" xfId="0" applyNumberFormat="1" applyFill="1" applyBorder="1" applyAlignment="1">
      <alignment horizontal="center"/>
    </xf>
    <xf numFmtId="14" fontId="7" fillId="0" borderId="1" xfId="0" applyNumberFormat="1" applyFont="1" applyBorder="1"/>
    <xf numFmtId="0" fontId="7" fillId="0" borderId="1" xfId="0" applyFont="1" applyBorder="1" applyAlignment="1">
      <alignment horizontal="center"/>
    </xf>
    <xf numFmtId="0" fontId="10" fillId="3" borderId="1" xfId="0" applyFont="1" applyFill="1" applyBorder="1" applyAlignment="1">
      <alignment horizontal="center"/>
    </xf>
    <xf numFmtId="0" fontId="2" fillId="6" borderId="1" xfId="0" applyFont="1" applyFill="1" applyBorder="1" applyAlignment="1">
      <alignment horizontal="centerContinuous" vertical="center"/>
    </xf>
    <xf numFmtId="0" fontId="2" fillId="6" borderId="7" xfId="0" applyFont="1" applyFill="1" applyBorder="1" applyAlignment="1">
      <alignment horizontal="centerContinuous" vertical="center"/>
    </xf>
    <xf numFmtId="0" fontId="2" fillId="6" borderId="8" xfId="0" applyFont="1" applyFill="1" applyBorder="1" applyAlignment="1">
      <alignment horizontal="centerContinuous" vertical="center"/>
    </xf>
    <xf numFmtId="0" fontId="11" fillId="9" borderId="0" xfId="0" applyFont="1" applyFill="1" applyAlignment="1">
      <alignment horizontal="center" vertical="center"/>
    </xf>
    <xf numFmtId="0" fontId="0" fillId="0" borderId="9" xfId="0" applyBorder="1" applyAlignment="1">
      <alignment vertical="center" wrapText="1"/>
    </xf>
    <xf numFmtId="0" fontId="4" fillId="6" borderId="6"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6"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4" fillId="5" borderId="1" xfId="0" applyFont="1" applyFill="1" applyBorder="1" applyAlignment="1">
      <alignment horizontal="center" vertical="center"/>
    </xf>
    <xf numFmtId="0" fontId="4" fillId="8" borderId="1" xfId="0" applyFont="1" applyFill="1" applyBorder="1" applyAlignment="1">
      <alignment horizontal="center" vertical="center" wrapText="1"/>
    </xf>
    <xf numFmtId="0" fontId="4" fillId="8" borderId="1" xfId="0" applyFont="1" applyFill="1" applyBorder="1" applyAlignment="1">
      <alignment horizontal="center" vertical="center"/>
    </xf>
  </cellXfs>
  <cellStyles count="1">
    <cellStyle name="Normal" xfId="0" builtinId="0"/>
  </cellStyles>
  <dxfs count="13">
    <dxf>
      <font>
        <b val="0"/>
        <i val="0"/>
        <strike val="0"/>
        <condense val="0"/>
        <extend val="0"/>
        <outline val="0"/>
        <shadow val="0"/>
        <u val="none"/>
        <vertAlign val="baseline"/>
        <sz val="10"/>
        <color theme="1"/>
        <name val="Calibri"/>
        <scheme val="minor"/>
      </font>
      <numFmt numFmtId="166" formatCode="dd\ mmm\,\ 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dxf>
    <dxf>
      <border outline="0">
        <bottom style="thin">
          <color indexed="64"/>
        </bottom>
      </border>
    </dxf>
    <dxf>
      <font>
        <b/>
        <i/>
        <strike val="0"/>
        <condense val="0"/>
        <extend val="0"/>
        <outline val="0"/>
        <shadow val="0"/>
        <u val="none"/>
        <vertAlign val="baseline"/>
        <sz val="9"/>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000"/>
        </patternFill>
      </fill>
    </dxf>
    <dxf>
      <font>
        <b/>
        <i val="0"/>
        <color theme="0"/>
      </font>
      <fill>
        <patternFill>
          <bgColor rgb="FFC00000"/>
        </patternFill>
      </fill>
    </dxf>
    <dxf>
      <fill>
        <patternFill>
          <bgColor theme="9" tint="-0.24994659260841701"/>
        </patternFill>
      </fill>
    </dxf>
    <dxf>
      <fill>
        <patternFill>
          <bgColor theme="0" tint="-0.14996795556505021"/>
        </patternFill>
      </fill>
      <border>
        <left style="thin">
          <color auto="1"/>
        </left>
        <right style="thin">
          <color auto="1"/>
        </right>
        <top style="thin">
          <color auto="1"/>
        </top>
        <bottom style="thin">
          <color auto="1"/>
        </bottom>
      </border>
    </dxf>
    <dxf>
      <font>
        <b/>
        <i val="0"/>
        <color theme="5"/>
      </font>
    </dxf>
    <dxf>
      <font>
        <color rgb="FFFF0000"/>
      </font>
    </dxf>
  </dxfs>
  <tableStyles count="0" defaultTableStyle="TableStyleMedium2"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13</xdr:col>
      <xdr:colOff>143716</xdr:colOff>
      <xdr:row>2</xdr:row>
      <xdr:rowOff>152401</xdr:rowOff>
    </xdr:from>
    <xdr:to>
      <xdr:col>23</xdr:col>
      <xdr:colOff>84885</xdr:colOff>
      <xdr:row>2</xdr:row>
      <xdr:rowOff>466726</xdr:rowOff>
    </xdr:to>
    <xdr:sp macro="" textlink="Sheet3!G2">
      <xdr:nvSpPr>
        <xdr:cNvPr id="3" name="Rectangle 2">
          <a:extLst>
            <a:ext uri="{FF2B5EF4-FFF2-40B4-BE49-F238E27FC236}">
              <a16:creationId xmlns:a16="http://schemas.microsoft.com/office/drawing/2014/main" id="{00000000-0008-0000-0000-000003000000}"/>
            </a:ext>
          </a:extLst>
        </xdr:cNvPr>
        <xdr:cNvSpPr/>
      </xdr:nvSpPr>
      <xdr:spPr>
        <a:xfrm>
          <a:off x="3982291" y="552451"/>
          <a:ext cx="2417669" cy="3143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400" b="1" i="1" u="none" strike="noStrike">
              <a:solidFill>
                <a:schemeClr val="tx2">
                  <a:lumMod val="60000"/>
                  <a:lumOff val="40000"/>
                </a:schemeClr>
              </a:solidFill>
              <a:latin typeface="Calibri"/>
            </a:rPr>
            <a:pPr algn="ctr"/>
            <a:t>January 2018</a:t>
          </a:fld>
          <a:endParaRPr lang="en-US" sz="2400" b="1" i="1" u="sng">
            <a:solidFill>
              <a:schemeClr val="tx2">
                <a:lumMod val="60000"/>
                <a:lumOff val="40000"/>
              </a:schemeClr>
            </a:solidFill>
          </a:endParaRPr>
        </a:p>
      </xdr:txBody>
    </xdr:sp>
    <xdr:clientData/>
  </xdr:twoCellAnchor>
  <xdr:twoCellAnchor editAs="absolute">
    <xdr:from>
      <xdr:col>1</xdr:col>
      <xdr:colOff>57149</xdr:colOff>
      <xdr:row>0</xdr:row>
      <xdr:rowOff>0</xdr:rowOff>
    </xdr:from>
    <xdr:to>
      <xdr:col>18</xdr:col>
      <xdr:colOff>28574</xdr:colOff>
      <xdr:row>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23924" y="0"/>
          <a:ext cx="418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rgbClr val="FF0000"/>
              </a:solidFill>
            </a:rPr>
            <a:t>&lt;-- ONLY use </a:t>
          </a:r>
          <a:r>
            <a:rPr lang="en-IN" sz="1100" i="1" baseline="0">
              <a:solidFill>
                <a:srgbClr val="FF0000"/>
              </a:solidFill>
            </a:rPr>
            <a:t>to Change the Starting Month (else use the triagle icons)</a:t>
          </a:r>
          <a:endParaRPr lang="en-IN" sz="1100" i="1">
            <a:solidFill>
              <a:srgbClr val="FF0000"/>
            </a:solidFill>
          </a:endParaRPr>
        </a:p>
      </xdr:txBody>
    </xdr:sp>
    <xdr:clientData/>
  </xdr:twoCellAnchor>
  <xdr:twoCellAnchor editAs="absolute">
    <xdr:from>
      <xdr:col>1</xdr:col>
      <xdr:colOff>57150</xdr:colOff>
      <xdr:row>1</xdr:row>
      <xdr:rowOff>9525</xdr:rowOff>
    </xdr:from>
    <xdr:to>
      <xdr:col>17</xdr:col>
      <xdr:colOff>95250</xdr:colOff>
      <xdr:row>2</xdr:row>
      <xdr:rowOff>28575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23925" y="209550"/>
          <a:ext cx="40005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chemeClr val="tx2">
                  <a:lumMod val="60000"/>
                  <a:lumOff val="40000"/>
                </a:schemeClr>
              </a:solidFill>
            </a:rPr>
            <a:t>&lt;-- Select</a:t>
          </a:r>
          <a:r>
            <a:rPr lang="en-IN" sz="1100" i="1" baseline="0">
              <a:solidFill>
                <a:schemeClr val="tx2">
                  <a:lumMod val="60000"/>
                  <a:lumOff val="40000"/>
                </a:schemeClr>
              </a:solidFill>
            </a:rPr>
            <a:t> Year</a:t>
          </a:r>
          <a:endParaRPr lang="en-IN" sz="1100" i="1">
            <a:solidFill>
              <a:schemeClr val="tx2">
                <a:lumMod val="60000"/>
                <a:lumOff val="40000"/>
              </a:schemeClr>
            </a:solidFill>
          </a:endParaRPr>
        </a:p>
      </xdr:txBody>
    </xdr:sp>
    <xdr:clientData/>
  </xdr:twoCellAnchor>
  <xdr:twoCellAnchor editAs="absolute">
    <xdr:from>
      <xdr:col>22</xdr:col>
      <xdr:colOff>228600</xdr:colOff>
      <xdr:row>2</xdr:row>
      <xdr:rowOff>100013</xdr:rowOff>
    </xdr:from>
    <xdr:to>
      <xdr:col>24</xdr:col>
      <xdr:colOff>152400</xdr:colOff>
      <xdr:row>3</xdr:row>
      <xdr:rowOff>953</xdr:rowOff>
    </xdr:to>
    <xdr:pic macro="[0]!NextMonth">
      <xdr:nvPicPr>
        <xdr:cNvPr id="7" name="Graphic 6" descr="Play">
          <a:extLst>
            <a:ext uri="{FF2B5EF4-FFF2-40B4-BE49-F238E27FC236}">
              <a16:creationId xmlns:a16="http://schemas.microsoft.com/office/drawing/2014/main" id="{4E016A8C-AB25-497C-8B50-83705B7070C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96025" y="500063"/>
          <a:ext cx="419100" cy="419100"/>
        </a:xfrm>
        <a:prstGeom prst="rect">
          <a:avLst/>
        </a:prstGeom>
      </xdr:spPr>
    </xdr:pic>
    <xdr:clientData/>
  </xdr:twoCellAnchor>
  <xdr:twoCellAnchor editAs="absolute">
    <xdr:from>
      <xdr:col>12</xdr:col>
      <xdr:colOff>123825</xdr:colOff>
      <xdr:row>2</xdr:row>
      <xdr:rowOff>100013</xdr:rowOff>
    </xdr:from>
    <xdr:to>
      <xdr:col>14</xdr:col>
      <xdr:colOff>47625</xdr:colOff>
      <xdr:row>3</xdr:row>
      <xdr:rowOff>953</xdr:rowOff>
    </xdr:to>
    <xdr:pic macro="[0]!PreviousMonth">
      <xdr:nvPicPr>
        <xdr:cNvPr id="9" name="Graphic 8" descr="Play">
          <a:extLst>
            <a:ext uri="{FF2B5EF4-FFF2-40B4-BE49-F238E27FC236}">
              <a16:creationId xmlns:a16="http://schemas.microsoft.com/office/drawing/2014/main" id="{831E49F6-402C-4EC9-BA26-23C4CD2B97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714750" y="500063"/>
          <a:ext cx="419100" cy="419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Leave-Tracker%202018%20-%2050%20Employe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ve Tracker"/>
      <sheetName val="Holidays"/>
      <sheetName val="FAQs"/>
      <sheetName val="Sheet3"/>
      <sheetName val="Excel-Leave-Tracker 2018 - 50 E"/>
    </sheet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id="1" name="HolidayList" displayName="HolidayList" ref="A1:B12" totalsRowShown="0" headerRowDxfId="6" dataDxfId="4" headerRowBorderDxfId="5" tableBorderDxfId="3" totalsRowBorderDxfId="2">
  <autoFilter ref="A1:B12"/>
  <tableColumns count="2">
    <tableColumn id="1" name="Holiday" dataDxfId="1"/>
    <tableColumn id="2" name="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eaveTracker"/>
  <dimension ref="A1:ACG27"/>
  <sheetViews>
    <sheetView showGridLines="0" tabSelected="1" showWhiteSpace="0" zoomScaleNormal="100" zoomScaleSheetLayoutView="100" workbookViewId="0">
      <pane xSplit="1" ySplit="7" topLeftCell="B8" activePane="bottomRight" state="frozen"/>
      <selection pane="topRight" activeCell="B1" sqref="B1"/>
      <selection pane="bottomLeft" activeCell="A8" sqref="A8"/>
      <selection pane="bottomRight" activeCell="AE3" sqref="AE3"/>
    </sheetView>
  </sheetViews>
  <sheetFormatPr defaultRowHeight="14.4" x14ac:dyDescent="0.3"/>
  <cols>
    <col min="1" max="1" width="13" customWidth="1"/>
    <col min="2" max="32" width="3.6640625" customWidth="1"/>
    <col min="33" max="373" width="3.6640625" hidden="1" customWidth="1"/>
    <col min="374" max="374" width="9.44140625" customWidth="1"/>
    <col min="375" max="375" width="8.5546875" customWidth="1"/>
    <col min="376" max="385" width="3.6640625" customWidth="1"/>
    <col min="386" max="386" width="3" customWidth="1"/>
    <col min="387" max="387" width="14.44140625" bestFit="1" customWidth="1"/>
    <col min="388" max="388" width="10.109375" bestFit="1" customWidth="1"/>
  </cols>
  <sheetData>
    <row r="1" spans="1:761" ht="15.6" x14ac:dyDescent="0.3">
      <c r="A1" s="11">
        <v>1</v>
      </c>
      <c r="B1" s="23"/>
    </row>
    <row r="2" spans="1:761" ht="15.6" x14ac:dyDescent="0.3">
      <c r="A2" s="11">
        <v>2018</v>
      </c>
      <c r="B2" s="23"/>
    </row>
    <row r="3" spans="1:761" ht="41.25" customHeight="1" x14ac:dyDescent="0.3">
      <c r="A3" s="14">
        <v>1</v>
      </c>
      <c r="B3" s="17" t="b">
        <f>AND(NOT(ISNUMBER(MATCH(DATE($A$2,INT((COLUMN()-1)/31.001)+$A$1,ROUNDUP(MOD(COLUMN()-1,31.001),0)),HolidayList[Date],0))),(VLOOKUP(VLOOKUP(WEEKDAY(DATE($A$2,INT((COLUMN()-1)/31.001)+$A$1,ROUNDUP(MOD(COLUMN()-1,31.001),0)),2),Sheet3!$D$1:$E$7,2,0),$NW$21:$NX$27,2,0)="Yes"))</f>
        <v>0</v>
      </c>
      <c r="C3" s="17" t="b">
        <f>AND(NOT(ISNUMBER(MATCH(DATE($A$2,INT((COLUMN()-1)/31.001)+$A$1,ROUNDUP(MOD(COLUMN()-1,31.001),0)),HolidayList[Date],0))),(VLOOKUP(VLOOKUP(WEEKDAY(DATE($A$2,INT((COLUMN()-1)/31.001)+$A$1,ROUNDUP(MOD(COLUMN()-1,31.001),0)),2),Sheet3!$D$1:$E$7,2,0),$NW$21:$NX$27,2,0)="Yes"))</f>
        <v>1</v>
      </c>
      <c r="D3" s="17" t="b">
        <f>AND(NOT(ISNUMBER(MATCH(DATE($A$2,INT((COLUMN()-1)/31.001)+$A$1,ROUNDUP(MOD(COLUMN()-1,31.001),0)),HolidayList[Date],0))),(VLOOKUP(VLOOKUP(WEEKDAY(DATE($A$2,INT((COLUMN()-1)/31.001)+$A$1,ROUNDUP(MOD(COLUMN()-1,31.001),0)),2),Sheet3!$D$1:$E$7,2,0),$NW$21:$NX$27,2,0)="Yes"))</f>
        <v>1</v>
      </c>
      <c r="E3" s="17" t="b">
        <f>AND(NOT(ISNUMBER(MATCH(DATE($A$2,INT((COLUMN()-1)/31.001)+$A$1,ROUNDUP(MOD(COLUMN()-1,31.001),0)),HolidayList[Date],0))),(VLOOKUP(VLOOKUP(WEEKDAY(DATE($A$2,INT((COLUMN()-1)/31.001)+$A$1,ROUNDUP(MOD(COLUMN()-1,31.001),0)),2),Sheet3!$D$1:$E$7,2,0),$NW$21:$NX$27,2,0)="Yes"))</f>
        <v>1</v>
      </c>
      <c r="F3" s="17" t="b">
        <f>AND(NOT(ISNUMBER(MATCH(DATE($A$2,INT((COLUMN()-1)/31.001)+$A$1,ROUNDUP(MOD(COLUMN()-1,31.001),0)),HolidayList[Date],0))),(VLOOKUP(VLOOKUP(WEEKDAY(DATE($A$2,INT((COLUMN()-1)/31.001)+$A$1,ROUNDUP(MOD(COLUMN()-1,31.001),0)),2),Sheet3!$D$1:$E$7,2,0),$NW$21:$NX$27,2,0)="Yes"))</f>
        <v>1</v>
      </c>
      <c r="G3" s="17" t="b">
        <f>AND(NOT(ISNUMBER(MATCH(DATE($A$2,INT((COLUMN()-1)/31.001)+$A$1,ROUNDUP(MOD(COLUMN()-1,31.001),0)),HolidayList[Date],0))),(VLOOKUP(VLOOKUP(WEEKDAY(DATE($A$2,INT((COLUMN()-1)/31.001)+$A$1,ROUNDUP(MOD(COLUMN()-1,31.001),0)),2),Sheet3!$D$1:$E$7,2,0),$NW$21:$NX$27,2,0)="Yes"))</f>
        <v>0</v>
      </c>
      <c r="H3" s="17" t="b">
        <f>AND(NOT(ISNUMBER(MATCH(DATE($A$2,INT((COLUMN()-1)/31.001)+$A$1,ROUNDUP(MOD(COLUMN()-1,31.001),0)),HolidayList[Date],0))),(VLOOKUP(VLOOKUP(WEEKDAY(DATE($A$2,INT((COLUMN()-1)/31.001)+$A$1,ROUNDUP(MOD(COLUMN()-1,31.001),0)),2),Sheet3!$D$1:$E$7,2,0),$NW$21:$NX$27,2,0)="Yes"))</f>
        <v>0</v>
      </c>
      <c r="I3" s="17" t="b">
        <f>AND(NOT(ISNUMBER(MATCH(DATE($A$2,INT((COLUMN()-1)/31.001)+$A$1,ROUNDUP(MOD(COLUMN()-1,31.001),0)),HolidayList[Date],0))),(VLOOKUP(VLOOKUP(WEEKDAY(DATE($A$2,INT((COLUMN()-1)/31.001)+$A$1,ROUNDUP(MOD(COLUMN()-1,31.001),0)),2),Sheet3!$D$1:$E$7,2,0),$NW$21:$NX$27,2,0)="Yes"))</f>
        <v>1</v>
      </c>
      <c r="J3" s="17" t="b">
        <f>AND(NOT(ISNUMBER(MATCH(DATE($A$2,INT((COLUMN()-1)/31.001)+$A$1,ROUNDUP(MOD(COLUMN()-1,31.001),0)),HolidayList[Date],0))),(VLOOKUP(VLOOKUP(WEEKDAY(DATE($A$2,INT((COLUMN()-1)/31.001)+$A$1,ROUNDUP(MOD(COLUMN()-1,31.001),0)),2),Sheet3!$D$1:$E$7,2,0),$NW$21:$NX$27,2,0)="Yes"))</f>
        <v>1</v>
      </c>
      <c r="K3" s="17" t="b">
        <f>AND(NOT(ISNUMBER(MATCH(DATE($A$2,INT((COLUMN()-1)/31.001)+$A$1,ROUNDUP(MOD(COLUMN()-1,31.001),0)),HolidayList[Date],0))),(VLOOKUP(VLOOKUP(WEEKDAY(DATE($A$2,INT((COLUMN()-1)/31.001)+$A$1,ROUNDUP(MOD(COLUMN()-1,31.001),0)),2),Sheet3!$D$1:$E$7,2,0),$NW$21:$NX$27,2,0)="Yes"))</f>
        <v>1</v>
      </c>
      <c r="L3" s="17" t="b">
        <f>AND(NOT(ISNUMBER(MATCH(DATE($A$2,INT((COLUMN()-1)/31.001)+$A$1,ROUNDUP(MOD(COLUMN()-1,31.001),0)),HolidayList[Date],0))),(VLOOKUP(VLOOKUP(WEEKDAY(DATE($A$2,INT((COLUMN()-1)/31.001)+$A$1,ROUNDUP(MOD(COLUMN()-1,31.001),0)),2),Sheet3!$D$1:$E$7,2,0),$NW$21:$NX$27,2,0)="Yes"))</f>
        <v>1</v>
      </c>
      <c r="M3" s="17" t="b">
        <f>AND(NOT(ISNUMBER(MATCH(DATE($A$2,INT((COLUMN()-1)/31.001)+$A$1,ROUNDUP(MOD(COLUMN()-1,31.001),0)),HolidayList[Date],0))),(VLOOKUP(VLOOKUP(WEEKDAY(DATE($A$2,INT((COLUMN()-1)/31.001)+$A$1,ROUNDUP(MOD(COLUMN()-1,31.001),0)),2),Sheet3!$D$1:$E$7,2,0),$NW$21:$NX$27,2,0)="Yes"))</f>
        <v>1</v>
      </c>
      <c r="N3" s="17" t="b">
        <f>AND(NOT(ISNUMBER(MATCH(DATE($A$2,INT((COLUMN()-1)/31.001)+$A$1,ROUNDUP(MOD(COLUMN()-1,31.001),0)),HolidayList[Date],0))),(VLOOKUP(VLOOKUP(WEEKDAY(DATE($A$2,INT((COLUMN()-1)/31.001)+$A$1,ROUNDUP(MOD(COLUMN()-1,31.001),0)),2),Sheet3!$D$1:$E$7,2,0),$NW$21:$NX$27,2,0)="Yes"))</f>
        <v>0</v>
      </c>
      <c r="O3" s="17" t="b">
        <f>AND(NOT(ISNUMBER(MATCH(DATE($A$2,INT((COLUMN()-1)/31.001)+$A$1,ROUNDUP(MOD(COLUMN()-1,31.001),0)),HolidayList[Date],0))),(VLOOKUP(VLOOKUP(WEEKDAY(DATE($A$2,INT((COLUMN()-1)/31.001)+$A$1,ROUNDUP(MOD(COLUMN()-1,31.001),0)),2),Sheet3!$D$1:$E$7,2,0),$NW$21:$NX$27,2,0)="Yes"))</f>
        <v>0</v>
      </c>
      <c r="P3" s="17" t="b">
        <f>AND(NOT(ISNUMBER(MATCH(DATE($A$2,INT((COLUMN()-1)/31.001)+$A$1,ROUNDUP(MOD(COLUMN()-1,31.001),0)),HolidayList[Date],0))),(VLOOKUP(VLOOKUP(WEEKDAY(DATE($A$2,INT((COLUMN()-1)/31.001)+$A$1,ROUNDUP(MOD(COLUMN()-1,31.001),0)),2),Sheet3!$D$1:$E$7,2,0),$NW$21:$NX$27,2,0)="Yes"))</f>
        <v>0</v>
      </c>
      <c r="Q3" s="17" t="b">
        <f>AND(NOT(ISNUMBER(MATCH(DATE($A$2,INT((COLUMN()-1)/31.001)+$A$1,ROUNDUP(MOD(COLUMN()-1,31.001),0)),HolidayList[Date],0))),(VLOOKUP(VLOOKUP(WEEKDAY(DATE($A$2,INT((COLUMN()-1)/31.001)+$A$1,ROUNDUP(MOD(COLUMN()-1,31.001),0)),2),Sheet3!$D$1:$E$7,2,0),$NW$21:$NX$27,2,0)="Yes"))</f>
        <v>1</v>
      </c>
      <c r="R3" s="17" t="b">
        <f>AND(NOT(ISNUMBER(MATCH(DATE($A$2,INT((COLUMN()-1)/31.001)+$A$1,ROUNDUP(MOD(COLUMN()-1,31.001),0)),HolidayList[Date],0))),(VLOOKUP(VLOOKUP(WEEKDAY(DATE($A$2,INT((COLUMN()-1)/31.001)+$A$1,ROUNDUP(MOD(COLUMN()-1,31.001),0)),2),Sheet3!$D$1:$E$7,2,0),$NW$21:$NX$27,2,0)="Yes"))</f>
        <v>1</v>
      </c>
      <c r="S3" s="17" t="b">
        <f>AND(NOT(ISNUMBER(MATCH(DATE($A$2,INT((COLUMN()-1)/31.001)+$A$1,ROUNDUP(MOD(COLUMN()-1,31.001),0)),HolidayList[Date],0))),(VLOOKUP(VLOOKUP(WEEKDAY(DATE($A$2,INT((COLUMN()-1)/31.001)+$A$1,ROUNDUP(MOD(COLUMN()-1,31.001),0)),2),Sheet3!$D$1:$E$7,2,0),$NW$21:$NX$27,2,0)="Yes"))</f>
        <v>1</v>
      </c>
      <c r="T3" s="17" t="b">
        <f>AND(NOT(ISNUMBER(MATCH(DATE($A$2,INT((COLUMN()-1)/31.001)+$A$1,ROUNDUP(MOD(COLUMN()-1,31.001),0)),HolidayList[Date],0))),(VLOOKUP(VLOOKUP(WEEKDAY(DATE($A$2,INT((COLUMN()-1)/31.001)+$A$1,ROUNDUP(MOD(COLUMN()-1,31.001),0)),2),Sheet3!$D$1:$E$7,2,0),$NW$21:$NX$27,2,0)="Yes"))</f>
        <v>1</v>
      </c>
      <c r="U3" s="17" t="b">
        <f>AND(NOT(ISNUMBER(MATCH(DATE($A$2,INT((COLUMN()-1)/31.001)+$A$1,ROUNDUP(MOD(COLUMN()-1,31.001),0)),HolidayList[Date],0))),(VLOOKUP(VLOOKUP(WEEKDAY(DATE($A$2,INT((COLUMN()-1)/31.001)+$A$1,ROUNDUP(MOD(COLUMN()-1,31.001),0)),2),Sheet3!$D$1:$E$7,2,0),$NW$21:$NX$27,2,0)="Yes"))</f>
        <v>0</v>
      </c>
      <c r="V3" s="17" t="b">
        <f>AND(NOT(ISNUMBER(MATCH(DATE($A$2,INT((COLUMN()-1)/31.001)+$A$1,ROUNDUP(MOD(COLUMN()-1,31.001),0)),HolidayList[Date],0))),(VLOOKUP(VLOOKUP(WEEKDAY(DATE($A$2,INT((COLUMN()-1)/31.001)+$A$1,ROUNDUP(MOD(COLUMN()-1,31.001),0)),2),Sheet3!$D$1:$E$7,2,0),$NW$21:$NX$27,2,0)="Yes"))</f>
        <v>0</v>
      </c>
      <c r="W3" s="17" t="b">
        <f>AND(NOT(ISNUMBER(MATCH(DATE($A$2,INT((COLUMN()-1)/31.001)+$A$1,ROUNDUP(MOD(COLUMN()-1,31.001),0)),HolidayList[Date],0))),(VLOOKUP(VLOOKUP(WEEKDAY(DATE($A$2,INT((COLUMN()-1)/31.001)+$A$1,ROUNDUP(MOD(COLUMN()-1,31.001),0)),2),Sheet3!$D$1:$E$7,2,0),$NW$21:$NX$27,2,0)="Yes"))</f>
        <v>1</v>
      </c>
      <c r="X3" s="17" t="b">
        <f>AND(NOT(ISNUMBER(MATCH(DATE($A$2,INT((COLUMN()-1)/31.001)+$A$1,ROUNDUP(MOD(COLUMN()-1,31.001),0)),HolidayList[Date],0))),(VLOOKUP(VLOOKUP(WEEKDAY(DATE($A$2,INT((COLUMN()-1)/31.001)+$A$1,ROUNDUP(MOD(COLUMN()-1,31.001),0)),2),Sheet3!$D$1:$E$7,2,0),$NW$21:$NX$27,2,0)="Yes"))</f>
        <v>1</v>
      </c>
      <c r="Y3" s="17" t="b">
        <f>AND(NOT(ISNUMBER(MATCH(DATE($A$2,INT((COLUMN()-1)/31.001)+$A$1,ROUNDUP(MOD(COLUMN()-1,31.001),0)),HolidayList[Date],0))),(VLOOKUP(VLOOKUP(WEEKDAY(DATE($A$2,INT((COLUMN()-1)/31.001)+$A$1,ROUNDUP(MOD(COLUMN()-1,31.001),0)),2),Sheet3!$D$1:$E$7,2,0),$NW$21:$NX$27,2,0)="Yes"))</f>
        <v>1</v>
      </c>
      <c r="Z3" s="17" t="b">
        <f>AND(NOT(ISNUMBER(MATCH(DATE($A$2,INT((COLUMN()-1)/31.001)+$A$1,ROUNDUP(MOD(COLUMN()-1,31.001),0)),HolidayList[Date],0))),(VLOOKUP(VLOOKUP(WEEKDAY(DATE($A$2,INT((COLUMN()-1)/31.001)+$A$1,ROUNDUP(MOD(COLUMN()-1,31.001),0)),2),Sheet3!$D$1:$E$7,2,0),$NW$21:$NX$27,2,0)="Yes"))</f>
        <v>1</v>
      </c>
      <c r="AA3" s="17" t="b">
        <f>AND(NOT(ISNUMBER(MATCH(DATE($A$2,INT((COLUMN()-1)/31.001)+$A$1,ROUNDUP(MOD(COLUMN()-1,31.001),0)),HolidayList[Date],0))),(VLOOKUP(VLOOKUP(WEEKDAY(DATE($A$2,INT((COLUMN()-1)/31.001)+$A$1,ROUNDUP(MOD(COLUMN()-1,31.001),0)),2),Sheet3!$D$1:$E$7,2,0),$NW$21:$NX$27,2,0)="Yes"))</f>
        <v>1</v>
      </c>
      <c r="AB3" s="17" t="b">
        <f>AND(NOT(ISNUMBER(MATCH(DATE($A$2,INT((COLUMN()-1)/31.001)+$A$1,ROUNDUP(MOD(COLUMN()-1,31.001),0)),HolidayList[Date],0))),(VLOOKUP(VLOOKUP(WEEKDAY(DATE($A$2,INT((COLUMN()-1)/31.001)+$A$1,ROUNDUP(MOD(COLUMN()-1,31.001),0)),2),Sheet3!$D$1:$E$7,2,0),$NW$21:$NX$27,2,0)="Yes"))</f>
        <v>0</v>
      </c>
      <c r="AC3" s="17" t="b">
        <f>AND(NOT(ISNUMBER(MATCH(DATE($A$2,INT((COLUMN()-1)/31.001)+$A$1,ROUNDUP(MOD(COLUMN()-1,31.001),0)),HolidayList[Date],0))),(VLOOKUP(VLOOKUP(WEEKDAY(DATE($A$2,INT((COLUMN()-1)/31.001)+$A$1,ROUNDUP(MOD(COLUMN()-1,31.001),0)),2),Sheet3!$D$1:$E$7,2,0),$NW$21:$NX$27,2,0)="Yes"))</f>
        <v>0</v>
      </c>
      <c r="AD3" s="17" t="b">
        <f>AND(NOT(ISNUMBER(MATCH(DATE($A$2,INT((COLUMN()-1)/31.001)+$A$1,ROUNDUP(MOD(COLUMN()-1,31.001),0)),HolidayList[Date],0))),(VLOOKUP(VLOOKUP(WEEKDAY(DATE($A$2,INT((COLUMN()-1)/31.001)+$A$1,ROUNDUP(MOD(COLUMN()-1,31.001),0)),2),Sheet3!$D$1:$E$7,2,0),$NW$21:$NX$27,2,0)="Yes"))</f>
        <v>1</v>
      </c>
      <c r="AE3" s="17" t="b">
        <f>AND(NOT(ISNUMBER(MATCH(DATE($A$2,INT((COLUMN()-1)/31.001)+$A$1,ROUNDUP(MOD(COLUMN()-1,31.001),0)),HolidayList[Date],0))),(VLOOKUP(VLOOKUP(WEEKDAY(DATE($A$2,INT((COLUMN()-1)/31.001)+$A$1,ROUNDUP(MOD(COLUMN()-1,31.001),0)),2),Sheet3!$D$1:$E$7,2,0),$NW$21:$NX$27,2,0)="Yes"))</f>
        <v>1</v>
      </c>
      <c r="AF3" s="17" t="b">
        <f>AND(NOT(ISNUMBER(MATCH(DATE($A$2,INT((COLUMN()-1)/31.001)+$A$1,ROUNDUP(MOD(COLUMN()-1,31.001),0)),HolidayList[Date],0))),(VLOOKUP(VLOOKUP(WEEKDAY(DATE($A$2,INT((COLUMN()-1)/31.001)+$A$1,ROUNDUP(MOD(COLUMN()-1,31.001),0)),2),Sheet3!$D$1:$E$7,2,0),$NW$21:$NX$27,2,0)="Yes"))</f>
        <v>1</v>
      </c>
      <c r="AG3" s="17" t="b">
        <f>AND(NOT(ISNUMBER(MATCH(DATE($A$2,INT((COLUMN()-1)/31.001)+$A$1,ROUNDUP(MOD(COLUMN()-1,31.001),0)),HolidayList[Date],0))),(VLOOKUP(VLOOKUP(WEEKDAY(DATE($A$2,INT((COLUMN()-1)/31.001)+$A$1,ROUNDUP(MOD(COLUMN()-1,31.001),0)),2),Sheet3!$D$1:$E$7,2,0),$NW$21:$NX$27,2,0)="Yes"))</f>
        <v>1</v>
      </c>
      <c r="AH3" s="17" t="b">
        <f>AND(NOT(ISNUMBER(MATCH(DATE($A$2,INT((COLUMN()-1)/31.001)+$A$1,ROUNDUP(MOD(COLUMN()-1,31.001),0)),HolidayList[Date],0))),(VLOOKUP(VLOOKUP(WEEKDAY(DATE($A$2,INT((COLUMN()-1)/31.001)+$A$1,ROUNDUP(MOD(COLUMN()-1,31.001),0)),2),Sheet3!$D$1:$E$7,2,0),$NW$21:$NX$27,2,0)="Yes"))</f>
        <v>1</v>
      </c>
      <c r="AI3" s="17" t="b">
        <f>AND(NOT(ISNUMBER(MATCH(DATE($A$2,INT((COLUMN()-1)/31.001)+$A$1,ROUNDUP(MOD(COLUMN()-1,31.001),0)),HolidayList[Date],0))),(VLOOKUP(VLOOKUP(WEEKDAY(DATE($A$2,INT((COLUMN()-1)/31.001)+$A$1,ROUNDUP(MOD(COLUMN()-1,31.001),0)),2),Sheet3!$D$1:$E$7,2,0),$NW$21:$NX$27,2,0)="Yes"))</f>
        <v>0</v>
      </c>
      <c r="AJ3" s="17" t="b">
        <f>AND(NOT(ISNUMBER(MATCH(DATE($A$2,INT((COLUMN()-1)/31.001)+$A$1,ROUNDUP(MOD(COLUMN()-1,31.001),0)),HolidayList[Date],0))),(VLOOKUP(VLOOKUP(WEEKDAY(DATE($A$2,INT((COLUMN()-1)/31.001)+$A$1,ROUNDUP(MOD(COLUMN()-1,31.001),0)),2),Sheet3!$D$1:$E$7,2,0),$NW$21:$NX$27,2,0)="Yes"))</f>
        <v>0</v>
      </c>
      <c r="AK3" s="17" t="b">
        <f>AND(NOT(ISNUMBER(MATCH(DATE($A$2,INT((COLUMN()-1)/31.001)+$A$1,ROUNDUP(MOD(COLUMN()-1,31.001),0)),HolidayList[Date],0))),(VLOOKUP(VLOOKUP(WEEKDAY(DATE($A$2,INT((COLUMN()-1)/31.001)+$A$1,ROUNDUP(MOD(COLUMN()-1,31.001),0)),2),Sheet3!$D$1:$E$7,2,0),$NW$21:$NX$27,2,0)="Yes"))</f>
        <v>1</v>
      </c>
      <c r="AL3" s="17" t="b">
        <f>AND(NOT(ISNUMBER(MATCH(DATE($A$2,INT((COLUMN()-1)/31.001)+$A$1,ROUNDUP(MOD(COLUMN()-1,31.001),0)),HolidayList[Date],0))),(VLOOKUP(VLOOKUP(WEEKDAY(DATE($A$2,INT((COLUMN()-1)/31.001)+$A$1,ROUNDUP(MOD(COLUMN()-1,31.001),0)),2),Sheet3!$D$1:$E$7,2,0),$NW$21:$NX$27,2,0)="Yes"))</f>
        <v>1</v>
      </c>
      <c r="AM3" s="17" t="b">
        <f>AND(NOT(ISNUMBER(MATCH(DATE($A$2,INT((COLUMN()-1)/31.001)+$A$1,ROUNDUP(MOD(COLUMN()-1,31.001),0)),HolidayList[Date],0))),(VLOOKUP(VLOOKUP(WEEKDAY(DATE($A$2,INT((COLUMN()-1)/31.001)+$A$1,ROUNDUP(MOD(COLUMN()-1,31.001),0)),2),Sheet3!$D$1:$E$7,2,0),$NW$21:$NX$27,2,0)="Yes"))</f>
        <v>1</v>
      </c>
      <c r="AN3" s="17" t="b">
        <f>AND(NOT(ISNUMBER(MATCH(DATE($A$2,INT((COLUMN()-1)/31.001)+$A$1,ROUNDUP(MOD(COLUMN()-1,31.001),0)),HolidayList[Date],0))),(VLOOKUP(VLOOKUP(WEEKDAY(DATE($A$2,INT((COLUMN()-1)/31.001)+$A$1,ROUNDUP(MOD(COLUMN()-1,31.001),0)),2),Sheet3!$D$1:$E$7,2,0),$NW$21:$NX$27,2,0)="Yes"))</f>
        <v>1</v>
      </c>
      <c r="AO3" s="17" t="b">
        <f>AND(NOT(ISNUMBER(MATCH(DATE($A$2,INT((COLUMN()-1)/31.001)+$A$1,ROUNDUP(MOD(COLUMN()-1,31.001),0)),HolidayList[Date],0))),(VLOOKUP(VLOOKUP(WEEKDAY(DATE($A$2,INT((COLUMN()-1)/31.001)+$A$1,ROUNDUP(MOD(COLUMN()-1,31.001),0)),2),Sheet3!$D$1:$E$7,2,0),$NW$21:$NX$27,2,0)="Yes"))</f>
        <v>1</v>
      </c>
      <c r="AP3" s="17" t="b">
        <f>AND(NOT(ISNUMBER(MATCH(DATE($A$2,INT((COLUMN()-1)/31.001)+$A$1,ROUNDUP(MOD(COLUMN()-1,31.001),0)),HolidayList[Date],0))),(VLOOKUP(VLOOKUP(WEEKDAY(DATE($A$2,INT((COLUMN()-1)/31.001)+$A$1,ROUNDUP(MOD(COLUMN()-1,31.001),0)),2),Sheet3!$D$1:$E$7,2,0),$NW$21:$NX$27,2,0)="Yes"))</f>
        <v>0</v>
      </c>
      <c r="AQ3" s="17" t="b">
        <f>AND(NOT(ISNUMBER(MATCH(DATE($A$2,INT((COLUMN()-1)/31.001)+$A$1,ROUNDUP(MOD(COLUMN()-1,31.001),0)),HolidayList[Date],0))),(VLOOKUP(VLOOKUP(WEEKDAY(DATE($A$2,INT((COLUMN()-1)/31.001)+$A$1,ROUNDUP(MOD(COLUMN()-1,31.001),0)),2),Sheet3!$D$1:$E$7,2,0),$NW$21:$NX$27,2,0)="Yes"))</f>
        <v>0</v>
      </c>
      <c r="AR3" s="17" t="b">
        <f>AND(NOT(ISNUMBER(MATCH(DATE($A$2,INT((COLUMN()-1)/31.001)+$A$1,ROUNDUP(MOD(COLUMN()-1,31.001),0)),HolidayList[Date],0))),(VLOOKUP(VLOOKUP(WEEKDAY(DATE($A$2,INT((COLUMN()-1)/31.001)+$A$1,ROUNDUP(MOD(COLUMN()-1,31.001),0)),2),Sheet3!$D$1:$E$7,2,0),$NW$21:$NX$27,2,0)="Yes"))</f>
        <v>1</v>
      </c>
      <c r="AS3" s="17" t="b">
        <f>AND(NOT(ISNUMBER(MATCH(DATE($A$2,INT((COLUMN()-1)/31.001)+$A$1,ROUNDUP(MOD(COLUMN()-1,31.001),0)),HolidayList[Date],0))),(VLOOKUP(VLOOKUP(WEEKDAY(DATE($A$2,INT((COLUMN()-1)/31.001)+$A$1,ROUNDUP(MOD(COLUMN()-1,31.001),0)),2),Sheet3!$D$1:$E$7,2,0),$NW$21:$NX$27,2,0)="Yes"))</f>
        <v>1</v>
      </c>
      <c r="AT3" s="17" t="b">
        <f>AND(NOT(ISNUMBER(MATCH(DATE($A$2,INT((COLUMN()-1)/31.001)+$A$1,ROUNDUP(MOD(COLUMN()-1,31.001),0)),HolidayList[Date],0))),(VLOOKUP(VLOOKUP(WEEKDAY(DATE($A$2,INT((COLUMN()-1)/31.001)+$A$1,ROUNDUP(MOD(COLUMN()-1,31.001),0)),2),Sheet3!$D$1:$E$7,2,0),$NW$21:$NX$27,2,0)="Yes"))</f>
        <v>1</v>
      </c>
      <c r="AU3" s="17" t="b">
        <f>AND(NOT(ISNUMBER(MATCH(DATE($A$2,INT((COLUMN()-1)/31.001)+$A$1,ROUNDUP(MOD(COLUMN()-1,31.001),0)),HolidayList[Date],0))),(VLOOKUP(VLOOKUP(WEEKDAY(DATE($A$2,INT((COLUMN()-1)/31.001)+$A$1,ROUNDUP(MOD(COLUMN()-1,31.001),0)),2),Sheet3!$D$1:$E$7,2,0),$NW$21:$NX$27,2,0)="Yes"))</f>
        <v>1</v>
      </c>
      <c r="AV3" s="17" t="b">
        <f>AND(NOT(ISNUMBER(MATCH(DATE($A$2,INT((COLUMN()-1)/31.001)+$A$1,ROUNDUP(MOD(COLUMN()-1,31.001),0)),HolidayList[Date],0))),(VLOOKUP(VLOOKUP(WEEKDAY(DATE($A$2,INT((COLUMN()-1)/31.001)+$A$1,ROUNDUP(MOD(COLUMN()-1,31.001),0)),2),Sheet3!$D$1:$E$7,2,0),$NW$21:$NX$27,2,0)="Yes"))</f>
        <v>1</v>
      </c>
      <c r="AW3" s="17" t="b">
        <f>AND(NOT(ISNUMBER(MATCH(DATE($A$2,INT((COLUMN()-1)/31.001)+$A$1,ROUNDUP(MOD(COLUMN()-1,31.001),0)),HolidayList[Date],0))),(VLOOKUP(VLOOKUP(WEEKDAY(DATE($A$2,INT((COLUMN()-1)/31.001)+$A$1,ROUNDUP(MOD(COLUMN()-1,31.001),0)),2),Sheet3!$D$1:$E$7,2,0),$NW$21:$NX$27,2,0)="Yes"))</f>
        <v>0</v>
      </c>
      <c r="AX3" s="17" t="b">
        <f>AND(NOT(ISNUMBER(MATCH(DATE($A$2,INT((COLUMN()-1)/31.001)+$A$1,ROUNDUP(MOD(COLUMN()-1,31.001),0)),HolidayList[Date],0))),(VLOOKUP(VLOOKUP(WEEKDAY(DATE($A$2,INT((COLUMN()-1)/31.001)+$A$1,ROUNDUP(MOD(COLUMN()-1,31.001),0)),2),Sheet3!$D$1:$E$7,2,0),$NW$21:$NX$27,2,0)="Yes"))</f>
        <v>0</v>
      </c>
      <c r="AY3" s="17" t="b">
        <f>AND(NOT(ISNUMBER(MATCH(DATE($A$2,INT((COLUMN()-1)/31.001)+$A$1,ROUNDUP(MOD(COLUMN()-1,31.001),0)),HolidayList[Date],0))),(VLOOKUP(VLOOKUP(WEEKDAY(DATE($A$2,INT((COLUMN()-1)/31.001)+$A$1,ROUNDUP(MOD(COLUMN()-1,31.001),0)),2),Sheet3!$D$1:$E$7,2,0),$NW$21:$NX$27,2,0)="Yes"))</f>
        <v>0</v>
      </c>
      <c r="AZ3" s="17" t="b">
        <f>AND(NOT(ISNUMBER(MATCH(DATE($A$2,INT((COLUMN()-1)/31.001)+$A$1,ROUNDUP(MOD(COLUMN()-1,31.001),0)),HolidayList[Date],0))),(VLOOKUP(VLOOKUP(WEEKDAY(DATE($A$2,INT((COLUMN()-1)/31.001)+$A$1,ROUNDUP(MOD(COLUMN()-1,31.001),0)),2),Sheet3!$D$1:$E$7,2,0),$NW$21:$NX$27,2,0)="Yes"))</f>
        <v>1</v>
      </c>
      <c r="BA3" s="17" t="b">
        <f>AND(NOT(ISNUMBER(MATCH(DATE($A$2,INT((COLUMN()-1)/31.001)+$A$1,ROUNDUP(MOD(COLUMN()-1,31.001),0)),HolidayList[Date],0))),(VLOOKUP(VLOOKUP(WEEKDAY(DATE($A$2,INT((COLUMN()-1)/31.001)+$A$1,ROUNDUP(MOD(COLUMN()-1,31.001),0)),2),Sheet3!$D$1:$E$7,2,0),$NW$21:$NX$27,2,0)="Yes"))</f>
        <v>1</v>
      </c>
      <c r="BB3" s="17" t="b">
        <f>AND(NOT(ISNUMBER(MATCH(DATE($A$2,INT((COLUMN()-1)/31.001)+$A$1,ROUNDUP(MOD(COLUMN()-1,31.001),0)),HolidayList[Date],0))),(VLOOKUP(VLOOKUP(WEEKDAY(DATE($A$2,INT((COLUMN()-1)/31.001)+$A$1,ROUNDUP(MOD(COLUMN()-1,31.001),0)),2),Sheet3!$D$1:$E$7,2,0),$NW$21:$NX$27,2,0)="Yes"))</f>
        <v>1</v>
      </c>
      <c r="BC3" s="17" t="b">
        <f>AND(NOT(ISNUMBER(MATCH(DATE($A$2,INT((COLUMN()-1)/31.001)+$A$1,ROUNDUP(MOD(COLUMN()-1,31.001),0)),HolidayList[Date],0))),(VLOOKUP(VLOOKUP(WEEKDAY(DATE($A$2,INT((COLUMN()-1)/31.001)+$A$1,ROUNDUP(MOD(COLUMN()-1,31.001),0)),2),Sheet3!$D$1:$E$7,2,0),$NW$21:$NX$27,2,0)="Yes"))</f>
        <v>1</v>
      </c>
      <c r="BD3" s="17" t="b">
        <f>AND(NOT(ISNUMBER(MATCH(DATE($A$2,INT((COLUMN()-1)/31.001)+$A$1,ROUNDUP(MOD(COLUMN()-1,31.001),0)),HolidayList[Date],0))),(VLOOKUP(VLOOKUP(WEEKDAY(DATE($A$2,INT((COLUMN()-1)/31.001)+$A$1,ROUNDUP(MOD(COLUMN()-1,31.001),0)),2),Sheet3!$D$1:$E$7,2,0),$NW$21:$NX$27,2,0)="Yes"))</f>
        <v>0</v>
      </c>
      <c r="BE3" s="17" t="b">
        <f>AND(NOT(ISNUMBER(MATCH(DATE($A$2,INT((COLUMN()-1)/31.001)+$A$1,ROUNDUP(MOD(COLUMN()-1,31.001),0)),HolidayList[Date],0))),(VLOOKUP(VLOOKUP(WEEKDAY(DATE($A$2,INT((COLUMN()-1)/31.001)+$A$1,ROUNDUP(MOD(COLUMN()-1,31.001),0)),2),Sheet3!$D$1:$E$7,2,0),$NW$21:$NX$27,2,0)="Yes"))</f>
        <v>0</v>
      </c>
      <c r="BF3" s="17" t="b">
        <f>AND(NOT(ISNUMBER(MATCH(DATE($A$2,INT((COLUMN()-1)/31.001)+$A$1,ROUNDUP(MOD(COLUMN()-1,31.001),0)),HolidayList[Date],0))),(VLOOKUP(VLOOKUP(WEEKDAY(DATE($A$2,INT((COLUMN()-1)/31.001)+$A$1,ROUNDUP(MOD(COLUMN()-1,31.001),0)),2),Sheet3!$D$1:$E$7,2,0),$NW$21:$NX$27,2,0)="Yes"))</f>
        <v>1</v>
      </c>
      <c r="BG3" s="17" t="b">
        <f>AND(NOT(ISNUMBER(MATCH(DATE($A$2,INT((COLUMN()-1)/31.001)+$A$1,ROUNDUP(MOD(COLUMN()-1,31.001),0)),HolidayList[Date],0))),(VLOOKUP(VLOOKUP(WEEKDAY(DATE($A$2,INT((COLUMN()-1)/31.001)+$A$1,ROUNDUP(MOD(COLUMN()-1,31.001),0)),2),Sheet3!$D$1:$E$7,2,0),$NW$21:$NX$27,2,0)="Yes"))</f>
        <v>1</v>
      </c>
      <c r="BH3" s="17" t="b">
        <f>AND(NOT(ISNUMBER(MATCH(DATE($A$2,INT((COLUMN()-1)/31.001)+$A$1,ROUNDUP(MOD(COLUMN()-1,31.001),0)),HolidayList[Date],0))),(VLOOKUP(VLOOKUP(WEEKDAY(DATE($A$2,INT((COLUMN()-1)/31.001)+$A$1,ROUNDUP(MOD(COLUMN()-1,31.001),0)),2),Sheet3!$D$1:$E$7,2,0),$NW$21:$NX$27,2,0)="Yes"))</f>
        <v>1</v>
      </c>
      <c r="BI3" s="17" t="b">
        <f>AND(NOT(ISNUMBER(MATCH(DATE($A$2,INT((COLUMN()-1)/31.001)+$A$1,ROUNDUP(MOD(COLUMN()-1,31.001),0)),HolidayList[Date],0))),(VLOOKUP(VLOOKUP(WEEKDAY(DATE($A$2,INT((COLUMN()-1)/31.001)+$A$1,ROUNDUP(MOD(COLUMN()-1,31.001),0)),2),Sheet3!$D$1:$E$7,2,0),$NW$21:$NX$27,2,0)="Yes"))</f>
        <v>1</v>
      </c>
      <c r="BJ3" s="17" t="b">
        <f>AND(NOT(ISNUMBER(MATCH(DATE($A$2,INT((COLUMN()-1)/31.001)+$A$1,ROUNDUP(MOD(COLUMN()-1,31.001),0)),HolidayList[Date],0))),(VLOOKUP(VLOOKUP(WEEKDAY(DATE($A$2,INT((COLUMN()-1)/31.001)+$A$1,ROUNDUP(MOD(COLUMN()-1,31.001),0)),2),Sheet3!$D$1:$E$7,2,0),$NW$21:$NX$27,2,0)="Yes"))</f>
        <v>1</v>
      </c>
      <c r="BK3" s="17" t="b">
        <f>AND(NOT(ISNUMBER(MATCH(DATE($A$2,INT((COLUMN()-1)/31.001)+$A$1,ROUNDUP(MOD(COLUMN()-1,31.001),0)),HolidayList[Date],0))),(VLOOKUP(VLOOKUP(WEEKDAY(DATE($A$2,INT((COLUMN()-1)/31.001)+$A$1,ROUNDUP(MOD(COLUMN()-1,31.001),0)),2),Sheet3!$D$1:$E$7,2,0),$NW$21:$NX$27,2,0)="Yes"))</f>
        <v>0</v>
      </c>
      <c r="BL3" s="17" t="b">
        <f>AND(NOT(ISNUMBER(MATCH(DATE($A$2,INT((COLUMN()-1)/31.001)+$A$1,ROUNDUP(MOD(COLUMN()-1,31.001),0)),HolidayList[Date],0))),(VLOOKUP(VLOOKUP(WEEKDAY(DATE($A$2,INT((COLUMN()-1)/31.001)+$A$1,ROUNDUP(MOD(COLUMN()-1,31.001),0)),2),Sheet3!$D$1:$E$7,2,0),$NW$21:$NX$27,2,0)="Yes"))</f>
        <v>1</v>
      </c>
      <c r="BM3" s="17" t="b">
        <f>AND(NOT(ISNUMBER(MATCH(DATE($A$2,INT((COLUMN()-1)/31.001)+$A$1,ROUNDUP(MOD(COLUMN()-1,31.001),0)),HolidayList[Date],0))),(VLOOKUP(VLOOKUP(WEEKDAY(DATE($A$2,INT((COLUMN()-1)/31.001)+$A$1,ROUNDUP(MOD(COLUMN()-1,31.001),0)),2),Sheet3!$D$1:$E$7,2,0),$NW$21:$NX$27,2,0)="Yes"))</f>
        <v>1</v>
      </c>
      <c r="BN3" s="17" t="b">
        <f>AND(NOT(ISNUMBER(MATCH(DATE($A$2,INT((COLUMN()-1)/31.001)+$A$1,ROUNDUP(MOD(COLUMN()-1,31.001),0)),HolidayList[Date],0))),(VLOOKUP(VLOOKUP(WEEKDAY(DATE($A$2,INT((COLUMN()-1)/31.001)+$A$1,ROUNDUP(MOD(COLUMN()-1,31.001),0)),2),Sheet3!$D$1:$E$7,2,0),$NW$21:$NX$27,2,0)="Yes"))</f>
        <v>0</v>
      </c>
      <c r="BO3" s="17" t="b">
        <f>AND(NOT(ISNUMBER(MATCH(DATE($A$2,INT((COLUMN()-1)/31.001)+$A$1,ROUNDUP(MOD(COLUMN()-1,31.001),0)),HolidayList[Date],0))),(VLOOKUP(VLOOKUP(WEEKDAY(DATE($A$2,INT((COLUMN()-1)/31.001)+$A$1,ROUNDUP(MOD(COLUMN()-1,31.001),0)),2),Sheet3!$D$1:$E$7,2,0),$NW$21:$NX$27,2,0)="Yes"))</f>
        <v>0</v>
      </c>
      <c r="BP3" s="17" t="b">
        <f>AND(NOT(ISNUMBER(MATCH(DATE($A$2,INT((COLUMN()-1)/31.001)+$A$1,ROUNDUP(MOD(COLUMN()-1,31.001),0)),HolidayList[Date],0))),(VLOOKUP(VLOOKUP(WEEKDAY(DATE($A$2,INT((COLUMN()-1)/31.001)+$A$1,ROUNDUP(MOD(COLUMN()-1,31.001),0)),2),Sheet3!$D$1:$E$7,2,0),$NW$21:$NX$27,2,0)="Yes"))</f>
        <v>1</v>
      </c>
      <c r="BQ3" s="17" t="b">
        <f>AND(NOT(ISNUMBER(MATCH(DATE($A$2,INT((COLUMN()-1)/31.001)+$A$1,ROUNDUP(MOD(COLUMN()-1,31.001),0)),HolidayList[Date],0))),(VLOOKUP(VLOOKUP(WEEKDAY(DATE($A$2,INT((COLUMN()-1)/31.001)+$A$1,ROUNDUP(MOD(COLUMN()-1,31.001),0)),2),Sheet3!$D$1:$E$7,2,0),$NW$21:$NX$27,2,0)="Yes"))</f>
        <v>1</v>
      </c>
      <c r="BR3" s="17" t="b">
        <f>AND(NOT(ISNUMBER(MATCH(DATE($A$2,INT((COLUMN()-1)/31.001)+$A$1,ROUNDUP(MOD(COLUMN()-1,31.001),0)),HolidayList[Date],0))),(VLOOKUP(VLOOKUP(WEEKDAY(DATE($A$2,INT((COLUMN()-1)/31.001)+$A$1,ROUNDUP(MOD(COLUMN()-1,31.001),0)),2),Sheet3!$D$1:$E$7,2,0),$NW$21:$NX$27,2,0)="Yes"))</f>
        <v>1</v>
      </c>
      <c r="BS3" s="17" t="b">
        <f>AND(NOT(ISNUMBER(MATCH(DATE($A$2,INT((COLUMN()-1)/31.001)+$A$1,ROUNDUP(MOD(COLUMN()-1,31.001),0)),HolidayList[Date],0))),(VLOOKUP(VLOOKUP(WEEKDAY(DATE($A$2,INT((COLUMN()-1)/31.001)+$A$1,ROUNDUP(MOD(COLUMN()-1,31.001),0)),2),Sheet3!$D$1:$E$7,2,0),$NW$21:$NX$27,2,0)="Yes"))</f>
        <v>1</v>
      </c>
      <c r="BT3" s="17" t="b">
        <f>AND(NOT(ISNUMBER(MATCH(DATE($A$2,INT((COLUMN()-1)/31.001)+$A$1,ROUNDUP(MOD(COLUMN()-1,31.001),0)),HolidayList[Date],0))),(VLOOKUP(VLOOKUP(WEEKDAY(DATE($A$2,INT((COLUMN()-1)/31.001)+$A$1,ROUNDUP(MOD(COLUMN()-1,31.001),0)),2),Sheet3!$D$1:$E$7,2,0),$NW$21:$NX$27,2,0)="Yes"))</f>
        <v>1</v>
      </c>
      <c r="BU3" s="17" t="b">
        <f>AND(NOT(ISNUMBER(MATCH(DATE($A$2,INT((COLUMN()-1)/31.001)+$A$1,ROUNDUP(MOD(COLUMN()-1,31.001),0)),HolidayList[Date],0))),(VLOOKUP(VLOOKUP(WEEKDAY(DATE($A$2,INT((COLUMN()-1)/31.001)+$A$1,ROUNDUP(MOD(COLUMN()-1,31.001),0)),2),Sheet3!$D$1:$E$7,2,0),$NW$21:$NX$27,2,0)="Yes"))</f>
        <v>0</v>
      </c>
      <c r="BV3" s="17" t="b">
        <f>AND(NOT(ISNUMBER(MATCH(DATE($A$2,INT((COLUMN()-1)/31.001)+$A$1,ROUNDUP(MOD(COLUMN()-1,31.001),0)),HolidayList[Date],0))),(VLOOKUP(VLOOKUP(WEEKDAY(DATE($A$2,INT((COLUMN()-1)/31.001)+$A$1,ROUNDUP(MOD(COLUMN()-1,31.001),0)),2),Sheet3!$D$1:$E$7,2,0),$NW$21:$NX$27,2,0)="Yes"))</f>
        <v>0</v>
      </c>
      <c r="BW3" s="17" t="b">
        <f>AND(NOT(ISNUMBER(MATCH(DATE($A$2,INT((COLUMN()-1)/31.001)+$A$1,ROUNDUP(MOD(COLUMN()-1,31.001),0)),HolidayList[Date],0))),(VLOOKUP(VLOOKUP(WEEKDAY(DATE($A$2,INT((COLUMN()-1)/31.001)+$A$1,ROUNDUP(MOD(COLUMN()-1,31.001),0)),2),Sheet3!$D$1:$E$7,2,0),$NW$21:$NX$27,2,0)="Yes"))</f>
        <v>1</v>
      </c>
      <c r="BX3" s="17" t="b">
        <f>AND(NOT(ISNUMBER(MATCH(DATE($A$2,INT((COLUMN()-1)/31.001)+$A$1,ROUNDUP(MOD(COLUMN()-1,31.001),0)),HolidayList[Date],0))),(VLOOKUP(VLOOKUP(WEEKDAY(DATE($A$2,INT((COLUMN()-1)/31.001)+$A$1,ROUNDUP(MOD(COLUMN()-1,31.001),0)),2),Sheet3!$D$1:$E$7,2,0),$NW$21:$NX$27,2,0)="Yes"))</f>
        <v>1</v>
      </c>
      <c r="BY3" s="17" t="b">
        <f>AND(NOT(ISNUMBER(MATCH(DATE($A$2,INT((COLUMN()-1)/31.001)+$A$1,ROUNDUP(MOD(COLUMN()-1,31.001),0)),HolidayList[Date],0))),(VLOOKUP(VLOOKUP(WEEKDAY(DATE($A$2,INT((COLUMN()-1)/31.001)+$A$1,ROUNDUP(MOD(COLUMN()-1,31.001),0)),2),Sheet3!$D$1:$E$7,2,0),$NW$21:$NX$27,2,0)="Yes"))</f>
        <v>1</v>
      </c>
      <c r="BZ3" s="17" t="b">
        <f>AND(NOT(ISNUMBER(MATCH(DATE($A$2,INT((COLUMN()-1)/31.001)+$A$1,ROUNDUP(MOD(COLUMN()-1,31.001),0)),HolidayList[Date],0))),(VLOOKUP(VLOOKUP(WEEKDAY(DATE($A$2,INT((COLUMN()-1)/31.001)+$A$1,ROUNDUP(MOD(COLUMN()-1,31.001),0)),2),Sheet3!$D$1:$E$7,2,0),$NW$21:$NX$27,2,0)="Yes"))</f>
        <v>1</v>
      </c>
      <c r="CA3" s="17" t="b">
        <f>AND(NOT(ISNUMBER(MATCH(DATE($A$2,INT((COLUMN()-1)/31.001)+$A$1,ROUNDUP(MOD(COLUMN()-1,31.001),0)),HolidayList[Date],0))),(VLOOKUP(VLOOKUP(WEEKDAY(DATE($A$2,INT((COLUMN()-1)/31.001)+$A$1,ROUNDUP(MOD(COLUMN()-1,31.001),0)),2),Sheet3!$D$1:$E$7,2,0),$NW$21:$NX$27,2,0)="Yes"))</f>
        <v>1</v>
      </c>
      <c r="CB3" s="17" t="b">
        <f>AND(NOT(ISNUMBER(MATCH(DATE($A$2,INT((COLUMN()-1)/31.001)+$A$1,ROUNDUP(MOD(COLUMN()-1,31.001),0)),HolidayList[Date],0))),(VLOOKUP(VLOOKUP(WEEKDAY(DATE($A$2,INT((COLUMN()-1)/31.001)+$A$1,ROUNDUP(MOD(COLUMN()-1,31.001),0)),2),Sheet3!$D$1:$E$7,2,0),$NW$21:$NX$27,2,0)="Yes"))</f>
        <v>0</v>
      </c>
      <c r="CC3" s="17" t="b">
        <f>AND(NOT(ISNUMBER(MATCH(DATE($A$2,INT((COLUMN()-1)/31.001)+$A$1,ROUNDUP(MOD(COLUMN()-1,31.001),0)),HolidayList[Date],0))),(VLOOKUP(VLOOKUP(WEEKDAY(DATE($A$2,INT((COLUMN()-1)/31.001)+$A$1,ROUNDUP(MOD(COLUMN()-1,31.001),0)),2),Sheet3!$D$1:$E$7,2,0),$NW$21:$NX$27,2,0)="Yes"))</f>
        <v>0</v>
      </c>
      <c r="CD3" s="17" t="b">
        <f>AND(NOT(ISNUMBER(MATCH(DATE($A$2,INT((COLUMN()-1)/31.001)+$A$1,ROUNDUP(MOD(COLUMN()-1,31.001),0)),HolidayList[Date],0))),(VLOOKUP(VLOOKUP(WEEKDAY(DATE($A$2,INT((COLUMN()-1)/31.001)+$A$1,ROUNDUP(MOD(COLUMN()-1,31.001),0)),2),Sheet3!$D$1:$E$7,2,0),$NW$21:$NX$27,2,0)="Yes"))</f>
        <v>1</v>
      </c>
      <c r="CE3" s="17" t="b">
        <f>AND(NOT(ISNUMBER(MATCH(DATE($A$2,INT((COLUMN()-1)/31.001)+$A$1,ROUNDUP(MOD(COLUMN()-1,31.001),0)),HolidayList[Date],0))),(VLOOKUP(VLOOKUP(WEEKDAY(DATE($A$2,INT((COLUMN()-1)/31.001)+$A$1,ROUNDUP(MOD(COLUMN()-1,31.001),0)),2),Sheet3!$D$1:$E$7,2,0),$NW$21:$NX$27,2,0)="Yes"))</f>
        <v>1</v>
      </c>
      <c r="CF3" s="17" t="b">
        <f>AND(NOT(ISNUMBER(MATCH(DATE($A$2,INT((COLUMN()-1)/31.001)+$A$1,ROUNDUP(MOD(COLUMN()-1,31.001),0)),HolidayList[Date],0))),(VLOOKUP(VLOOKUP(WEEKDAY(DATE($A$2,INT((COLUMN()-1)/31.001)+$A$1,ROUNDUP(MOD(COLUMN()-1,31.001),0)),2),Sheet3!$D$1:$E$7,2,0),$NW$21:$NX$27,2,0)="Yes"))</f>
        <v>1</v>
      </c>
      <c r="CG3" s="17" t="b">
        <f>AND(NOT(ISNUMBER(MATCH(DATE($A$2,INT((COLUMN()-1)/31.001)+$A$1,ROUNDUP(MOD(COLUMN()-1,31.001),0)),HolidayList[Date],0))),(VLOOKUP(VLOOKUP(WEEKDAY(DATE($A$2,INT((COLUMN()-1)/31.001)+$A$1,ROUNDUP(MOD(COLUMN()-1,31.001),0)),2),Sheet3!$D$1:$E$7,2,0),$NW$21:$NX$27,2,0)="Yes"))</f>
        <v>1</v>
      </c>
      <c r="CH3" s="17" t="b">
        <f>AND(NOT(ISNUMBER(MATCH(DATE($A$2,INT((COLUMN()-1)/31.001)+$A$1,ROUNDUP(MOD(COLUMN()-1,31.001),0)),HolidayList[Date],0))),(VLOOKUP(VLOOKUP(WEEKDAY(DATE($A$2,INT((COLUMN()-1)/31.001)+$A$1,ROUNDUP(MOD(COLUMN()-1,31.001),0)),2),Sheet3!$D$1:$E$7,2,0),$NW$21:$NX$27,2,0)="Yes"))</f>
        <v>1</v>
      </c>
      <c r="CI3" s="17" t="b">
        <f>AND(NOT(ISNUMBER(MATCH(DATE($A$2,INT((COLUMN()-1)/31.001)+$A$1,ROUNDUP(MOD(COLUMN()-1,31.001),0)),HolidayList[Date],0))),(VLOOKUP(VLOOKUP(WEEKDAY(DATE($A$2,INT((COLUMN()-1)/31.001)+$A$1,ROUNDUP(MOD(COLUMN()-1,31.001),0)),2),Sheet3!$D$1:$E$7,2,0),$NW$21:$NX$27,2,0)="Yes"))</f>
        <v>0</v>
      </c>
      <c r="CJ3" s="17" t="b">
        <f>AND(NOT(ISNUMBER(MATCH(DATE($A$2,INT((COLUMN()-1)/31.001)+$A$1,ROUNDUP(MOD(COLUMN()-1,31.001),0)),HolidayList[Date],0))),(VLOOKUP(VLOOKUP(WEEKDAY(DATE($A$2,INT((COLUMN()-1)/31.001)+$A$1,ROUNDUP(MOD(COLUMN()-1,31.001),0)),2),Sheet3!$D$1:$E$7,2,0),$NW$21:$NX$27,2,0)="Yes"))</f>
        <v>0</v>
      </c>
      <c r="CK3" s="17" t="b">
        <f>AND(NOT(ISNUMBER(MATCH(DATE($A$2,INT((COLUMN()-1)/31.001)+$A$1,ROUNDUP(MOD(COLUMN()-1,31.001),0)),HolidayList[Date],0))),(VLOOKUP(VLOOKUP(WEEKDAY(DATE($A$2,INT((COLUMN()-1)/31.001)+$A$1,ROUNDUP(MOD(COLUMN()-1,31.001),0)),2),Sheet3!$D$1:$E$7,2,0),$NW$21:$NX$27,2,0)="Yes"))</f>
        <v>1</v>
      </c>
      <c r="CL3" s="17" t="b">
        <f>AND(NOT(ISNUMBER(MATCH(DATE($A$2,INT((COLUMN()-1)/31.001)+$A$1,ROUNDUP(MOD(COLUMN()-1,31.001),0)),HolidayList[Date],0))),(VLOOKUP(VLOOKUP(WEEKDAY(DATE($A$2,INT((COLUMN()-1)/31.001)+$A$1,ROUNDUP(MOD(COLUMN()-1,31.001),0)),2),Sheet3!$D$1:$E$7,2,0),$NW$21:$NX$27,2,0)="Yes"))</f>
        <v>1</v>
      </c>
      <c r="CM3" s="17" t="b">
        <f>AND(NOT(ISNUMBER(MATCH(DATE($A$2,INT((COLUMN()-1)/31.001)+$A$1,ROUNDUP(MOD(COLUMN()-1,31.001),0)),HolidayList[Date],0))),(VLOOKUP(VLOOKUP(WEEKDAY(DATE($A$2,INT((COLUMN()-1)/31.001)+$A$1,ROUNDUP(MOD(COLUMN()-1,31.001),0)),2),Sheet3!$D$1:$E$7,2,0),$NW$21:$NX$27,2,0)="Yes"))</f>
        <v>1</v>
      </c>
      <c r="CN3" s="17" t="b">
        <f>AND(NOT(ISNUMBER(MATCH(DATE($A$2,INT((COLUMN()-1)/31.001)+$A$1,ROUNDUP(MOD(COLUMN()-1,31.001),0)),HolidayList[Date],0))),(VLOOKUP(VLOOKUP(WEEKDAY(DATE($A$2,INT((COLUMN()-1)/31.001)+$A$1,ROUNDUP(MOD(COLUMN()-1,31.001),0)),2),Sheet3!$D$1:$E$7,2,0),$NW$21:$NX$27,2,0)="Yes"))</f>
        <v>1</v>
      </c>
      <c r="CO3" s="17" t="b">
        <f>AND(NOT(ISNUMBER(MATCH(DATE($A$2,INT((COLUMN()-1)/31.001)+$A$1,ROUNDUP(MOD(COLUMN()-1,31.001),0)),HolidayList[Date],0))),(VLOOKUP(VLOOKUP(WEEKDAY(DATE($A$2,INT((COLUMN()-1)/31.001)+$A$1,ROUNDUP(MOD(COLUMN()-1,31.001),0)),2),Sheet3!$D$1:$E$7,2,0),$NW$21:$NX$27,2,0)="Yes"))</f>
        <v>1</v>
      </c>
      <c r="CP3" s="17" t="b">
        <f>AND(NOT(ISNUMBER(MATCH(DATE($A$2,INT((COLUMN()-1)/31.001)+$A$1,ROUNDUP(MOD(COLUMN()-1,31.001),0)),HolidayList[Date],0))),(VLOOKUP(VLOOKUP(WEEKDAY(DATE($A$2,INT((COLUMN()-1)/31.001)+$A$1,ROUNDUP(MOD(COLUMN()-1,31.001),0)),2),Sheet3!$D$1:$E$7,2,0),$NW$21:$NX$27,2,0)="Yes"))</f>
        <v>0</v>
      </c>
      <c r="CQ3" s="17" t="b">
        <f>AND(NOT(ISNUMBER(MATCH(DATE($A$2,INT((COLUMN()-1)/31.001)+$A$1,ROUNDUP(MOD(COLUMN()-1,31.001),0)),HolidayList[Date],0))),(VLOOKUP(VLOOKUP(WEEKDAY(DATE($A$2,INT((COLUMN()-1)/31.001)+$A$1,ROUNDUP(MOD(COLUMN()-1,31.001),0)),2),Sheet3!$D$1:$E$7,2,0),$NW$21:$NX$27,2,0)="Yes"))</f>
        <v>0</v>
      </c>
      <c r="CR3" s="17" t="b">
        <f>AND(NOT(ISNUMBER(MATCH(DATE($A$2,INT((COLUMN()-1)/31.001)+$A$1,ROUNDUP(MOD(COLUMN()-1,31.001),0)),HolidayList[Date],0))),(VLOOKUP(VLOOKUP(WEEKDAY(DATE($A$2,INT((COLUMN()-1)/31.001)+$A$1,ROUNDUP(MOD(COLUMN()-1,31.001),0)),2),Sheet3!$D$1:$E$7,2,0),$NW$21:$NX$27,2,0)="Yes"))</f>
        <v>1</v>
      </c>
      <c r="CS3" s="17" t="b">
        <f>AND(NOT(ISNUMBER(MATCH(DATE($A$2,INT((COLUMN()-1)/31.001)+$A$1,ROUNDUP(MOD(COLUMN()-1,31.001),0)),HolidayList[Date],0))),(VLOOKUP(VLOOKUP(WEEKDAY(DATE($A$2,INT((COLUMN()-1)/31.001)+$A$1,ROUNDUP(MOD(COLUMN()-1,31.001),0)),2),Sheet3!$D$1:$E$7,2,0),$NW$21:$NX$27,2,0)="Yes"))</f>
        <v>1</v>
      </c>
      <c r="CT3" s="17" t="b">
        <f>AND(NOT(ISNUMBER(MATCH(DATE($A$2,INT((COLUMN()-1)/31.001)+$A$1,ROUNDUP(MOD(COLUMN()-1,31.001),0)),HolidayList[Date],0))),(VLOOKUP(VLOOKUP(WEEKDAY(DATE($A$2,INT((COLUMN()-1)/31.001)+$A$1,ROUNDUP(MOD(COLUMN()-1,31.001),0)),2),Sheet3!$D$1:$E$7,2,0),$NW$21:$NX$27,2,0)="Yes"))</f>
        <v>1</v>
      </c>
      <c r="CU3" s="17" t="b">
        <f>AND(NOT(ISNUMBER(MATCH(DATE($A$2,INT((COLUMN()-1)/31.001)+$A$1,ROUNDUP(MOD(COLUMN()-1,31.001),0)),HolidayList[Date],0))),(VLOOKUP(VLOOKUP(WEEKDAY(DATE($A$2,INT((COLUMN()-1)/31.001)+$A$1,ROUNDUP(MOD(COLUMN()-1,31.001),0)),2),Sheet3!$D$1:$E$7,2,0),$NW$21:$NX$27,2,0)="Yes"))</f>
        <v>1</v>
      </c>
      <c r="CV3" s="17" t="b">
        <f>AND(NOT(ISNUMBER(MATCH(DATE($A$2,INT((COLUMN()-1)/31.001)+$A$1,ROUNDUP(MOD(COLUMN()-1,31.001),0)),HolidayList[Date],0))),(VLOOKUP(VLOOKUP(WEEKDAY(DATE($A$2,INT((COLUMN()-1)/31.001)+$A$1,ROUNDUP(MOD(COLUMN()-1,31.001),0)),2),Sheet3!$D$1:$E$7,2,0),$NW$21:$NX$27,2,0)="Yes"))</f>
        <v>1</v>
      </c>
      <c r="CW3" s="17" t="b">
        <f>AND(NOT(ISNUMBER(MATCH(DATE($A$2,INT((COLUMN()-1)/31.001)+$A$1,ROUNDUP(MOD(COLUMN()-1,31.001),0)),HolidayList[Date],0))),(VLOOKUP(VLOOKUP(WEEKDAY(DATE($A$2,INT((COLUMN()-1)/31.001)+$A$1,ROUNDUP(MOD(COLUMN()-1,31.001),0)),2),Sheet3!$D$1:$E$7,2,0),$NW$21:$NX$27,2,0)="Yes"))</f>
        <v>0</v>
      </c>
      <c r="CX3" s="17" t="b">
        <f>AND(NOT(ISNUMBER(MATCH(DATE($A$2,INT((COLUMN()-1)/31.001)+$A$1,ROUNDUP(MOD(COLUMN()-1,31.001),0)),HolidayList[Date],0))),(VLOOKUP(VLOOKUP(WEEKDAY(DATE($A$2,INT((COLUMN()-1)/31.001)+$A$1,ROUNDUP(MOD(COLUMN()-1,31.001),0)),2),Sheet3!$D$1:$E$7,2,0),$NW$21:$NX$27,2,0)="Yes"))</f>
        <v>0</v>
      </c>
      <c r="CY3" s="17" t="b">
        <f>AND(NOT(ISNUMBER(MATCH(DATE($A$2,INT((COLUMN()-1)/31.001)+$A$1,ROUNDUP(MOD(COLUMN()-1,31.001),0)),HolidayList[Date],0))),(VLOOKUP(VLOOKUP(WEEKDAY(DATE($A$2,INT((COLUMN()-1)/31.001)+$A$1,ROUNDUP(MOD(COLUMN()-1,31.001),0)),2),Sheet3!$D$1:$E$7,2,0),$NW$21:$NX$27,2,0)="Yes"))</f>
        <v>1</v>
      </c>
      <c r="CZ3" s="17" t="b">
        <f>AND(NOT(ISNUMBER(MATCH(DATE($A$2,INT((COLUMN()-1)/31.001)+$A$1,ROUNDUP(MOD(COLUMN()-1,31.001),0)),HolidayList[Date],0))),(VLOOKUP(VLOOKUP(WEEKDAY(DATE($A$2,INT((COLUMN()-1)/31.001)+$A$1,ROUNDUP(MOD(COLUMN()-1,31.001),0)),2),Sheet3!$D$1:$E$7,2,0),$NW$21:$NX$27,2,0)="Yes"))</f>
        <v>1</v>
      </c>
      <c r="DA3" s="17" t="b">
        <f>AND(NOT(ISNUMBER(MATCH(DATE($A$2,INT((COLUMN()-1)/31.001)+$A$1,ROUNDUP(MOD(COLUMN()-1,31.001),0)),HolidayList[Date],0))),(VLOOKUP(VLOOKUP(WEEKDAY(DATE($A$2,INT((COLUMN()-1)/31.001)+$A$1,ROUNDUP(MOD(COLUMN()-1,31.001),0)),2),Sheet3!$D$1:$E$7,2,0),$NW$21:$NX$27,2,0)="Yes"))</f>
        <v>1</v>
      </c>
      <c r="DB3" s="17" t="b">
        <f>AND(NOT(ISNUMBER(MATCH(DATE($A$2,INT((COLUMN()-1)/31.001)+$A$1,ROUNDUP(MOD(COLUMN()-1,31.001),0)),HolidayList[Date],0))),(VLOOKUP(VLOOKUP(WEEKDAY(DATE($A$2,INT((COLUMN()-1)/31.001)+$A$1,ROUNDUP(MOD(COLUMN()-1,31.001),0)),2),Sheet3!$D$1:$E$7,2,0),$NW$21:$NX$27,2,0)="Yes"))</f>
        <v>1</v>
      </c>
      <c r="DC3" s="17" t="b">
        <f>AND(NOT(ISNUMBER(MATCH(DATE($A$2,INT((COLUMN()-1)/31.001)+$A$1,ROUNDUP(MOD(COLUMN()-1,31.001),0)),HolidayList[Date],0))),(VLOOKUP(VLOOKUP(WEEKDAY(DATE($A$2,INT((COLUMN()-1)/31.001)+$A$1,ROUNDUP(MOD(COLUMN()-1,31.001),0)),2),Sheet3!$D$1:$E$7,2,0),$NW$21:$NX$27,2,0)="Yes"))</f>
        <v>1</v>
      </c>
      <c r="DD3" s="17" t="b">
        <f>AND(NOT(ISNUMBER(MATCH(DATE($A$2,INT((COLUMN()-1)/31.001)+$A$1,ROUNDUP(MOD(COLUMN()-1,31.001),0)),HolidayList[Date],0))),(VLOOKUP(VLOOKUP(WEEKDAY(DATE($A$2,INT((COLUMN()-1)/31.001)+$A$1,ROUNDUP(MOD(COLUMN()-1,31.001),0)),2),Sheet3!$D$1:$E$7,2,0),$NW$21:$NX$27,2,0)="Yes"))</f>
        <v>0</v>
      </c>
      <c r="DE3" s="17" t="b">
        <f>AND(NOT(ISNUMBER(MATCH(DATE($A$2,INT((COLUMN()-1)/31.001)+$A$1,ROUNDUP(MOD(COLUMN()-1,31.001),0)),HolidayList[Date],0))),(VLOOKUP(VLOOKUP(WEEKDAY(DATE($A$2,INT((COLUMN()-1)/31.001)+$A$1,ROUNDUP(MOD(COLUMN()-1,31.001),0)),2),Sheet3!$D$1:$E$7,2,0),$NW$21:$NX$27,2,0)="Yes"))</f>
        <v>0</v>
      </c>
      <c r="DF3" s="17" t="b">
        <f>AND(NOT(ISNUMBER(MATCH(DATE($A$2,INT((COLUMN()-1)/31.001)+$A$1,ROUNDUP(MOD(COLUMN()-1,31.001),0)),HolidayList[Date],0))),(VLOOKUP(VLOOKUP(WEEKDAY(DATE($A$2,INT((COLUMN()-1)/31.001)+$A$1,ROUNDUP(MOD(COLUMN()-1,31.001),0)),2),Sheet3!$D$1:$E$7,2,0),$NW$21:$NX$27,2,0)="Yes"))</f>
        <v>1</v>
      </c>
      <c r="DG3" s="17" t="b">
        <f>AND(NOT(ISNUMBER(MATCH(DATE($A$2,INT((COLUMN()-1)/31.001)+$A$1,ROUNDUP(MOD(COLUMN()-1,31.001),0)),HolidayList[Date],0))),(VLOOKUP(VLOOKUP(WEEKDAY(DATE($A$2,INT((COLUMN()-1)/31.001)+$A$1,ROUNDUP(MOD(COLUMN()-1,31.001),0)),2),Sheet3!$D$1:$E$7,2,0),$NW$21:$NX$27,2,0)="Yes"))</f>
        <v>1</v>
      </c>
      <c r="DH3" s="17" t="b">
        <f>AND(NOT(ISNUMBER(MATCH(DATE($A$2,INT((COLUMN()-1)/31.001)+$A$1,ROUNDUP(MOD(COLUMN()-1,31.001),0)),HolidayList[Date],0))),(VLOOKUP(VLOOKUP(WEEKDAY(DATE($A$2,INT((COLUMN()-1)/31.001)+$A$1,ROUNDUP(MOD(COLUMN()-1,31.001),0)),2),Sheet3!$D$1:$E$7,2,0),$NW$21:$NX$27,2,0)="Yes"))</f>
        <v>1</v>
      </c>
      <c r="DI3" s="17" t="b">
        <f>AND(NOT(ISNUMBER(MATCH(DATE($A$2,INT((COLUMN()-1)/31.001)+$A$1,ROUNDUP(MOD(COLUMN()-1,31.001),0)),HolidayList[Date],0))),(VLOOKUP(VLOOKUP(WEEKDAY(DATE($A$2,INT((COLUMN()-1)/31.001)+$A$1,ROUNDUP(MOD(COLUMN()-1,31.001),0)),2),Sheet3!$D$1:$E$7,2,0),$NW$21:$NX$27,2,0)="Yes"))</f>
        <v>1</v>
      </c>
      <c r="DJ3" s="17" t="b">
        <f>AND(NOT(ISNUMBER(MATCH(DATE($A$2,INT((COLUMN()-1)/31.001)+$A$1,ROUNDUP(MOD(COLUMN()-1,31.001),0)),HolidayList[Date],0))),(VLOOKUP(VLOOKUP(WEEKDAY(DATE($A$2,INT((COLUMN()-1)/31.001)+$A$1,ROUNDUP(MOD(COLUMN()-1,31.001),0)),2),Sheet3!$D$1:$E$7,2,0),$NW$21:$NX$27,2,0)="Yes"))</f>
        <v>1</v>
      </c>
      <c r="DK3" s="17" t="b">
        <f>AND(NOT(ISNUMBER(MATCH(DATE($A$2,INT((COLUMN()-1)/31.001)+$A$1,ROUNDUP(MOD(COLUMN()-1,31.001),0)),HolidayList[Date],0))),(VLOOKUP(VLOOKUP(WEEKDAY(DATE($A$2,INT((COLUMN()-1)/31.001)+$A$1,ROUNDUP(MOD(COLUMN()-1,31.001),0)),2),Sheet3!$D$1:$E$7,2,0),$NW$21:$NX$27,2,0)="Yes"))</f>
        <v>0</v>
      </c>
      <c r="DL3" s="17" t="b">
        <f>AND(NOT(ISNUMBER(MATCH(DATE($A$2,INT((COLUMN()-1)/31.001)+$A$1,ROUNDUP(MOD(COLUMN()-1,31.001),0)),HolidayList[Date],0))),(VLOOKUP(VLOOKUP(WEEKDAY(DATE($A$2,INT((COLUMN()-1)/31.001)+$A$1,ROUNDUP(MOD(COLUMN()-1,31.001),0)),2),Sheet3!$D$1:$E$7,2,0),$NW$21:$NX$27,2,0)="Yes"))</f>
        <v>0</v>
      </c>
      <c r="DM3" s="17" t="b">
        <f>AND(NOT(ISNUMBER(MATCH(DATE($A$2,INT((COLUMN()-1)/31.001)+$A$1,ROUNDUP(MOD(COLUMN()-1,31.001),0)),HolidayList[Date],0))),(VLOOKUP(VLOOKUP(WEEKDAY(DATE($A$2,INT((COLUMN()-1)/31.001)+$A$1,ROUNDUP(MOD(COLUMN()-1,31.001),0)),2),Sheet3!$D$1:$E$7,2,0),$NW$21:$NX$27,2,0)="Yes"))</f>
        <v>1</v>
      </c>
      <c r="DN3" s="17" t="b">
        <f>AND(NOT(ISNUMBER(MATCH(DATE($A$2,INT((COLUMN()-1)/31.001)+$A$1,ROUNDUP(MOD(COLUMN()-1,31.001),0)),HolidayList[Date],0))),(VLOOKUP(VLOOKUP(WEEKDAY(DATE($A$2,INT((COLUMN()-1)/31.001)+$A$1,ROUNDUP(MOD(COLUMN()-1,31.001),0)),2),Sheet3!$D$1:$E$7,2,0),$NW$21:$NX$27,2,0)="Yes"))</f>
        <v>1</v>
      </c>
      <c r="DO3" s="17" t="b">
        <f>AND(NOT(ISNUMBER(MATCH(DATE($A$2,INT((COLUMN()-1)/31.001)+$A$1,ROUNDUP(MOD(COLUMN()-1,31.001),0)),HolidayList[Date],0))),(VLOOKUP(VLOOKUP(WEEKDAY(DATE($A$2,INT((COLUMN()-1)/31.001)+$A$1,ROUNDUP(MOD(COLUMN()-1,31.001),0)),2),Sheet3!$D$1:$E$7,2,0),$NW$21:$NX$27,2,0)="Yes"))</f>
        <v>1</v>
      </c>
      <c r="DP3" s="17" t="b">
        <f>AND(NOT(ISNUMBER(MATCH(DATE($A$2,INT((COLUMN()-1)/31.001)+$A$1,ROUNDUP(MOD(COLUMN()-1,31.001),0)),HolidayList[Date],0))),(VLOOKUP(VLOOKUP(WEEKDAY(DATE($A$2,INT((COLUMN()-1)/31.001)+$A$1,ROUNDUP(MOD(COLUMN()-1,31.001),0)),2),Sheet3!$D$1:$E$7,2,0),$NW$21:$NX$27,2,0)="Yes"))</f>
        <v>1</v>
      </c>
      <c r="DQ3" s="17" t="b">
        <f>AND(NOT(ISNUMBER(MATCH(DATE($A$2,INT((COLUMN()-1)/31.001)+$A$1,ROUNDUP(MOD(COLUMN()-1,31.001),0)),HolidayList[Date],0))),(VLOOKUP(VLOOKUP(WEEKDAY(DATE($A$2,INT((COLUMN()-1)/31.001)+$A$1,ROUNDUP(MOD(COLUMN()-1,31.001),0)),2),Sheet3!$D$1:$E$7,2,0),$NW$21:$NX$27,2,0)="Yes"))</f>
        <v>1</v>
      </c>
      <c r="DR3" s="17" t="b">
        <f>AND(NOT(ISNUMBER(MATCH(DATE($A$2,INT((COLUMN()-1)/31.001)+$A$1,ROUNDUP(MOD(COLUMN()-1,31.001),0)),HolidayList[Date],0))),(VLOOKUP(VLOOKUP(WEEKDAY(DATE($A$2,INT((COLUMN()-1)/31.001)+$A$1,ROUNDUP(MOD(COLUMN()-1,31.001),0)),2),Sheet3!$D$1:$E$7,2,0),$NW$21:$NX$27,2,0)="Yes"))</f>
        <v>0</v>
      </c>
      <c r="DS3" s="17" t="b">
        <f>AND(NOT(ISNUMBER(MATCH(DATE($A$2,INT((COLUMN()-1)/31.001)+$A$1,ROUNDUP(MOD(COLUMN()-1,31.001),0)),HolidayList[Date],0))),(VLOOKUP(VLOOKUP(WEEKDAY(DATE($A$2,INT((COLUMN()-1)/31.001)+$A$1,ROUNDUP(MOD(COLUMN()-1,31.001),0)),2),Sheet3!$D$1:$E$7,2,0),$NW$21:$NX$27,2,0)="Yes"))</f>
        <v>0</v>
      </c>
      <c r="DT3" s="17" t="b">
        <f>AND(NOT(ISNUMBER(MATCH(DATE($A$2,INT((COLUMN()-1)/31.001)+$A$1,ROUNDUP(MOD(COLUMN()-1,31.001),0)),HolidayList[Date],0))),(VLOOKUP(VLOOKUP(WEEKDAY(DATE($A$2,INT((COLUMN()-1)/31.001)+$A$1,ROUNDUP(MOD(COLUMN()-1,31.001),0)),2),Sheet3!$D$1:$E$7,2,0),$NW$21:$NX$27,2,0)="Yes"))</f>
        <v>1</v>
      </c>
      <c r="DU3" s="17" t="b">
        <f>AND(NOT(ISNUMBER(MATCH(DATE($A$2,INT((COLUMN()-1)/31.001)+$A$1,ROUNDUP(MOD(COLUMN()-1,31.001),0)),HolidayList[Date],0))),(VLOOKUP(VLOOKUP(WEEKDAY(DATE($A$2,INT((COLUMN()-1)/31.001)+$A$1,ROUNDUP(MOD(COLUMN()-1,31.001),0)),2),Sheet3!$D$1:$E$7,2,0),$NW$21:$NX$27,2,0)="Yes"))</f>
        <v>1</v>
      </c>
      <c r="DV3" s="17" t="b">
        <f>AND(NOT(ISNUMBER(MATCH(DATE($A$2,INT((COLUMN()-1)/31.001)+$A$1,ROUNDUP(MOD(COLUMN()-1,31.001),0)),HolidayList[Date],0))),(VLOOKUP(VLOOKUP(WEEKDAY(DATE($A$2,INT((COLUMN()-1)/31.001)+$A$1,ROUNDUP(MOD(COLUMN()-1,31.001),0)),2),Sheet3!$D$1:$E$7,2,0),$NW$21:$NX$27,2,0)="Yes"))</f>
        <v>1</v>
      </c>
      <c r="DW3" s="17" t="b">
        <f>AND(NOT(ISNUMBER(MATCH(DATE($A$2,INT((COLUMN()-1)/31.001)+$A$1,ROUNDUP(MOD(COLUMN()-1,31.001),0)),HolidayList[Date],0))),(VLOOKUP(VLOOKUP(WEEKDAY(DATE($A$2,INT((COLUMN()-1)/31.001)+$A$1,ROUNDUP(MOD(COLUMN()-1,31.001),0)),2),Sheet3!$D$1:$E$7,2,0),$NW$21:$NX$27,2,0)="Yes"))</f>
        <v>1</v>
      </c>
      <c r="DX3" s="17" t="b">
        <f>AND(NOT(ISNUMBER(MATCH(DATE($A$2,INT((COLUMN()-1)/31.001)+$A$1,ROUNDUP(MOD(COLUMN()-1,31.001),0)),HolidayList[Date],0))),(VLOOKUP(VLOOKUP(WEEKDAY(DATE($A$2,INT((COLUMN()-1)/31.001)+$A$1,ROUNDUP(MOD(COLUMN()-1,31.001),0)),2),Sheet3!$D$1:$E$7,2,0),$NW$21:$NX$27,2,0)="Yes"))</f>
        <v>1</v>
      </c>
      <c r="DY3" s="17" t="b">
        <f>AND(NOT(ISNUMBER(MATCH(DATE($A$2,INT((COLUMN()-1)/31.001)+$A$1,ROUNDUP(MOD(COLUMN()-1,31.001),0)),HolidayList[Date],0))),(VLOOKUP(VLOOKUP(WEEKDAY(DATE($A$2,INT((COLUMN()-1)/31.001)+$A$1,ROUNDUP(MOD(COLUMN()-1,31.001),0)),2),Sheet3!$D$1:$E$7,2,0),$NW$21:$NX$27,2,0)="Yes"))</f>
        <v>1</v>
      </c>
      <c r="DZ3" s="17" t="b">
        <f>AND(NOT(ISNUMBER(MATCH(DATE($A$2,INT((COLUMN()-1)/31.001)+$A$1,ROUNDUP(MOD(COLUMN()-1,31.001),0)),HolidayList[Date],0))),(VLOOKUP(VLOOKUP(WEEKDAY(DATE($A$2,INT((COLUMN()-1)/31.001)+$A$1,ROUNDUP(MOD(COLUMN()-1,31.001),0)),2),Sheet3!$D$1:$E$7,2,0),$NW$21:$NX$27,2,0)="Yes"))</f>
        <v>0</v>
      </c>
      <c r="EA3" s="17" t="b">
        <f>AND(NOT(ISNUMBER(MATCH(DATE($A$2,INT((COLUMN()-1)/31.001)+$A$1,ROUNDUP(MOD(COLUMN()-1,31.001),0)),HolidayList[Date],0))),(VLOOKUP(VLOOKUP(WEEKDAY(DATE($A$2,INT((COLUMN()-1)/31.001)+$A$1,ROUNDUP(MOD(COLUMN()-1,31.001),0)),2),Sheet3!$D$1:$E$7,2,0),$NW$21:$NX$27,2,0)="Yes"))</f>
        <v>0</v>
      </c>
      <c r="EB3" s="17" t="b">
        <f>AND(NOT(ISNUMBER(MATCH(DATE($A$2,INT((COLUMN()-1)/31.001)+$A$1,ROUNDUP(MOD(COLUMN()-1,31.001),0)),HolidayList[Date],0))),(VLOOKUP(VLOOKUP(WEEKDAY(DATE($A$2,INT((COLUMN()-1)/31.001)+$A$1,ROUNDUP(MOD(COLUMN()-1,31.001),0)),2),Sheet3!$D$1:$E$7,2,0),$NW$21:$NX$27,2,0)="Yes"))</f>
        <v>1</v>
      </c>
      <c r="EC3" s="17" t="b">
        <f>AND(NOT(ISNUMBER(MATCH(DATE($A$2,INT((COLUMN()-1)/31.001)+$A$1,ROUNDUP(MOD(COLUMN()-1,31.001),0)),HolidayList[Date],0))),(VLOOKUP(VLOOKUP(WEEKDAY(DATE($A$2,INT((COLUMN()-1)/31.001)+$A$1,ROUNDUP(MOD(COLUMN()-1,31.001),0)),2),Sheet3!$D$1:$E$7,2,0),$NW$21:$NX$27,2,0)="Yes"))</f>
        <v>1</v>
      </c>
      <c r="ED3" s="17" t="b">
        <f>AND(NOT(ISNUMBER(MATCH(DATE($A$2,INT((COLUMN()-1)/31.001)+$A$1,ROUNDUP(MOD(COLUMN()-1,31.001),0)),HolidayList[Date],0))),(VLOOKUP(VLOOKUP(WEEKDAY(DATE($A$2,INT((COLUMN()-1)/31.001)+$A$1,ROUNDUP(MOD(COLUMN()-1,31.001),0)),2),Sheet3!$D$1:$E$7,2,0),$NW$21:$NX$27,2,0)="Yes"))</f>
        <v>1</v>
      </c>
      <c r="EE3" s="17" t="b">
        <f>AND(NOT(ISNUMBER(MATCH(DATE($A$2,INT((COLUMN()-1)/31.001)+$A$1,ROUNDUP(MOD(COLUMN()-1,31.001),0)),HolidayList[Date],0))),(VLOOKUP(VLOOKUP(WEEKDAY(DATE($A$2,INT((COLUMN()-1)/31.001)+$A$1,ROUNDUP(MOD(COLUMN()-1,31.001),0)),2),Sheet3!$D$1:$E$7,2,0),$NW$21:$NX$27,2,0)="Yes"))</f>
        <v>1</v>
      </c>
      <c r="EF3" s="17" t="b">
        <f>AND(NOT(ISNUMBER(MATCH(DATE($A$2,INT((COLUMN()-1)/31.001)+$A$1,ROUNDUP(MOD(COLUMN()-1,31.001),0)),HolidayList[Date],0))),(VLOOKUP(VLOOKUP(WEEKDAY(DATE($A$2,INT((COLUMN()-1)/31.001)+$A$1,ROUNDUP(MOD(COLUMN()-1,31.001),0)),2),Sheet3!$D$1:$E$7,2,0),$NW$21:$NX$27,2,0)="Yes"))</f>
        <v>1</v>
      </c>
      <c r="EG3" s="17" t="b">
        <f>AND(NOT(ISNUMBER(MATCH(DATE($A$2,INT((COLUMN()-1)/31.001)+$A$1,ROUNDUP(MOD(COLUMN()-1,31.001),0)),HolidayList[Date],0))),(VLOOKUP(VLOOKUP(WEEKDAY(DATE($A$2,INT((COLUMN()-1)/31.001)+$A$1,ROUNDUP(MOD(COLUMN()-1,31.001),0)),2),Sheet3!$D$1:$E$7,2,0),$NW$21:$NX$27,2,0)="Yes"))</f>
        <v>0</v>
      </c>
      <c r="EH3" s="17" t="b">
        <f>AND(NOT(ISNUMBER(MATCH(DATE($A$2,INT((COLUMN()-1)/31.001)+$A$1,ROUNDUP(MOD(COLUMN()-1,31.001),0)),HolidayList[Date],0))),(VLOOKUP(VLOOKUP(WEEKDAY(DATE($A$2,INT((COLUMN()-1)/31.001)+$A$1,ROUNDUP(MOD(COLUMN()-1,31.001),0)),2),Sheet3!$D$1:$E$7,2,0),$NW$21:$NX$27,2,0)="Yes"))</f>
        <v>0</v>
      </c>
      <c r="EI3" s="17" t="b">
        <f>AND(NOT(ISNUMBER(MATCH(DATE($A$2,INT((COLUMN()-1)/31.001)+$A$1,ROUNDUP(MOD(COLUMN()-1,31.001),0)),HolidayList[Date],0))),(VLOOKUP(VLOOKUP(WEEKDAY(DATE($A$2,INT((COLUMN()-1)/31.001)+$A$1,ROUNDUP(MOD(COLUMN()-1,31.001),0)),2),Sheet3!$D$1:$E$7,2,0),$NW$21:$NX$27,2,0)="Yes"))</f>
        <v>1</v>
      </c>
      <c r="EJ3" s="17" t="b">
        <f>AND(NOT(ISNUMBER(MATCH(DATE($A$2,INT((COLUMN()-1)/31.001)+$A$1,ROUNDUP(MOD(COLUMN()-1,31.001),0)),HolidayList[Date],0))),(VLOOKUP(VLOOKUP(WEEKDAY(DATE($A$2,INT((COLUMN()-1)/31.001)+$A$1,ROUNDUP(MOD(COLUMN()-1,31.001),0)),2),Sheet3!$D$1:$E$7,2,0),$NW$21:$NX$27,2,0)="Yes"))</f>
        <v>1</v>
      </c>
      <c r="EK3" s="17" t="b">
        <f>AND(NOT(ISNUMBER(MATCH(DATE($A$2,INT((COLUMN()-1)/31.001)+$A$1,ROUNDUP(MOD(COLUMN()-1,31.001),0)),HolidayList[Date],0))),(VLOOKUP(VLOOKUP(WEEKDAY(DATE($A$2,INT((COLUMN()-1)/31.001)+$A$1,ROUNDUP(MOD(COLUMN()-1,31.001),0)),2),Sheet3!$D$1:$E$7,2,0),$NW$21:$NX$27,2,0)="Yes"))</f>
        <v>1</v>
      </c>
      <c r="EL3" s="17" t="b">
        <f>AND(NOT(ISNUMBER(MATCH(DATE($A$2,INT((COLUMN()-1)/31.001)+$A$1,ROUNDUP(MOD(COLUMN()-1,31.001),0)),HolidayList[Date],0))),(VLOOKUP(VLOOKUP(WEEKDAY(DATE($A$2,INT((COLUMN()-1)/31.001)+$A$1,ROUNDUP(MOD(COLUMN()-1,31.001),0)),2),Sheet3!$D$1:$E$7,2,0),$NW$21:$NX$27,2,0)="Yes"))</f>
        <v>1</v>
      </c>
      <c r="EM3" s="17" t="b">
        <f>AND(NOT(ISNUMBER(MATCH(DATE($A$2,INT((COLUMN()-1)/31.001)+$A$1,ROUNDUP(MOD(COLUMN()-1,31.001),0)),HolidayList[Date],0))),(VLOOKUP(VLOOKUP(WEEKDAY(DATE($A$2,INT((COLUMN()-1)/31.001)+$A$1,ROUNDUP(MOD(COLUMN()-1,31.001),0)),2),Sheet3!$D$1:$E$7,2,0),$NW$21:$NX$27,2,0)="Yes"))</f>
        <v>1</v>
      </c>
      <c r="EN3" s="17" t="b">
        <f>AND(NOT(ISNUMBER(MATCH(DATE($A$2,INT((COLUMN()-1)/31.001)+$A$1,ROUNDUP(MOD(COLUMN()-1,31.001),0)),HolidayList[Date],0))),(VLOOKUP(VLOOKUP(WEEKDAY(DATE($A$2,INT((COLUMN()-1)/31.001)+$A$1,ROUNDUP(MOD(COLUMN()-1,31.001),0)),2),Sheet3!$D$1:$E$7,2,0),$NW$21:$NX$27,2,0)="Yes"))</f>
        <v>0</v>
      </c>
      <c r="EO3" s="17" t="b">
        <f>AND(NOT(ISNUMBER(MATCH(DATE($A$2,INT((COLUMN()-1)/31.001)+$A$1,ROUNDUP(MOD(COLUMN()-1,31.001),0)),HolidayList[Date],0))),(VLOOKUP(VLOOKUP(WEEKDAY(DATE($A$2,INT((COLUMN()-1)/31.001)+$A$1,ROUNDUP(MOD(COLUMN()-1,31.001),0)),2),Sheet3!$D$1:$E$7,2,0),$NW$21:$NX$27,2,0)="Yes"))</f>
        <v>0</v>
      </c>
      <c r="EP3" s="17" t="b">
        <f>AND(NOT(ISNUMBER(MATCH(DATE($A$2,INT((COLUMN()-1)/31.001)+$A$1,ROUNDUP(MOD(COLUMN()-1,31.001),0)),HolidayList[Date],0))),(VLOOKUP(VLOOKUP(WEEKDAY(DATE($A$2,INT((COLUMN()-1)/31.001)+$A$1,ROUNDUP(MOD(COLUMN()-1,31.001),0)),2),Sheet3!$D$1:$E$7,2,0),$NW$21:$NX$27,2,0)="Yes"))</f>
        <v>1</v>
      </c>
      <c r="EQ3" s="17" t="b">
        <f>AND(NOT(ISNUMBER(MATCH(DATE($A$2,INT((COLUMN()-1)/31.001)+$A$1,ROUNDUP(MOD(COLUMN()-1,31.001),0)),HolidayList[Date],0))),(VLOOKUP(VLOOKUP(WEEKDAY(DATE($A$2,INT((COLUMN()-1)/31.001)+$A$1,ROUNDUP(MOD(COLUMN()-1,31.001),0)),2),Sheet3!$D$1:$E$7,2,0),$NW$21:$NX$27,2,0)="Yes"))</f>
        <v>1</v>
      </c>
      <c r="ER3" s="17" t="b">
        <f>AND(NOT(ISNUMBER(MATCH(DATE($A$2,INT((COLUMN()-1)/31.001)+$A$1,ROUNDUP(MOD(COLUMN()-1,31.001),0)),HolidayList[Date],0))),(VLOOKUP(VLOOKUP(WEEKDAY(DATE($A$2,INT((COLUMN()-1)/31.001)+$A$1,ROUNDUP(MOD(COLUMN()-1,31.001),0)),2),Sheet3!$D$1:$E$7,2,0),$NW$21:$NX$27,2,0)="Yes"))</f>
        <v>1</v>
      </c>
      <c r="ES3" s="17" t="b">
        <f>AND(NOT(ISNUMBER(MATCH(DATE($A$2,INT((COLUMN()-1)/31.001)+$A$1,ROUNDUP(MOD(COLUMN()-1,31.001),0)),HolidayList[Date],0))),(VLOOKUP(VLOOKUP(WEEKDAY(DATE($A$2,INT((COLUMN()-1)/31.001)+$A$1,ROUNDUP(MOD(COLUMN()-1,31.001),0)),2),Sheet3!$D$1:$E$7,2,0),$NW$21:$NX$27,2,0)="Yes"))</f>
        <v>1</v>
      </c>
      <c r="ET3" s="17" t="b">
        <f>AND(NOT(ISNUMBER(MATCH(DATE($A$2,INT((COLUMN()-1)/31.001)+$A$1,ROUNDUP(MOD(COLUMN()-1,31.001),0)),HolidayList[Date],0))),(VLOOKUP(VLOOKUP(WEEKDAY(DATE($A$2,INT((COLUMN()-1)/31.001)+$A$1,ROUNDUP(MOD(COLUMN()-1,31.001),0)),2),Sheet3!$D$1:$E$7,2,0),$NW$21:$NX$27,2,0)="Yes"))</f>
        <v>1</v>
      </c>
      <c r="EU3" s="17" t="b">
        <f>AND(NOT(ISNUMBER(MATCH(DATE($A$2,INT((COLUMN()-1)/31.001)+$A$1,ROUNDUP(MOD(COLUMN()-1,31.001),0)),HolidayList[Date],0))),(VLOOKUP(VLOOKUP(WEEKDAY(DATE($A$2,INT((COLUMN()-1)/31.001)+$A$1,ROUNDUP(MOD(COLUMN()-1,31.001),0)),2),Sheet3!$D$1:$E$7,2,0),$NW$21:$NX$27,2,0)="Yes"))</f>
        <v>0</v>
      </c>
      <c r="EV3" s="17" t="b">
        <f>AND(NOT(ISNUMBER(MATCH(DATE($A$2,INT((COLUMN()-1)/31.001)+$A$1,ROUNDUP(MOD(COLUMN()-1,31.001),0)),HolidayList[Date],0))),(VLOOKUP(VLOOKUP(WEEKDAY(DATE($A$2,INT((COLUMN()-1)/31.001)+$A$1,ROUNDUP(MOD(COLUMN()-1,31.001),0)),2),Sheet3!$D$1:$E$7,2,0),$NW$21:$NX$27,2,0)="Yes"))</f>
        <v>0</v>
      </c>
      <c r="EW3" s="17" t="b">
        <f>AND(NOT(ISNUMBER(MATCH(DATE($A$2,INT((COLUMN()-1)/31.001)+$A$1,ROUNDUP(MOD(COLUMN()-1,31.001),0)),HolidayList[Date],0))),(VLOOKUP(VLOOKUP(WEEKDAY(DATE($A$2,INT((COLUMN()-1)/31.001)+$A$1,ROUNDUP(MOD(COLUMN()-1,31.001),0)),2),Sheet3!$D$1:$E$7,2,0),$NW$21:$NX$27,2,0)="Yes"))</f>
        <v>0</v>
      </c>
      <c r="EX3" s="17" t="b">
        <f>AND(NOT(ISNUMBER(MATCH(DATE($A$2,INT((COLUMN()-1)/31.001)+$A$1,ROUNDUP(MOD(COLUMN()-1,31.001),0)),HolidayList[Date],0))),(VLOOKUP(VLOOKUP(WEEKDAY(DATE($A$2,INT((COLUMN()-1)/31.001)+$A$1,ROUNDUP(MOD(COLUMN()-1,31.001),0)),2),Sheet3!$D$1:$E$7,2,0),$NW$21:$NX$27,2,0)="Yes"))</f>
        <v>1</v>
      </c>
      <c r="EY3" s="17" t="b">
        <f>AND(NOT(ISNUMBER(MATCH(DATE($A$2,INT((COLUMN()-1)/31.001)+$A$1,ROUNDUP(MOD(COLUMN()-1,31.001),0)),HolidayList[Date],0))),(VLOOKUP(VLOOKUP(WEEKDAY(DATE($A$2,INT((COLUMN()-1)/31.001)+$A$1,ROUNDUP(MOD(COLUMN()-1,31.001),0)),2),Sheet3!$D$1:$E$7,2,0),$NW$21:$NX$27,2,0)="Yes"))</f>
        <v>1</v>
      </c>
      <c r="EZ3" s="17" t="b">
        <f>AND(NOT(ISNUMBER(MATCH(DATE($A$2,INT((COLUMN()-1)/31.001)+$A$1,ROUNDUP(MOD(COLUMN()-1,31.001),0)),HolidayList[Date],0))),(VLOOKUP(VLOOKUP(WEEKDAY(DATE($A$2,INT((COLUMN()-1)/31.001)+$A$1,ROUNDUP(MOD(COLUMN()-1,31.001),0)),2),Sheet3!$D$1:$E$7,2,0),$NW$21:$NX$27,2,0)="Yes"))</f>
        <v>1</v>
      </c>
      <c r="FA3" s="17" t="b">
        <f>AND(NOT(ISNUMBER(MATCH(DATE($A$2,INT((COLUMN()-1)/31.001)+$A$1,ROUNDUP(MOD(COLUMN()-1,31.001),0)),HolidayList[Date],0))),(VLOOKUP(VLOOKUP(WEEKDAY(DATE($A$2,INT((COLUMN()-1)/31.001)+$A$1,ROUNDUP(MOD(COLUMN()-1,31.001),0)),2),Sheet3!$D$1:$E$7,2,0),$NW$21:$NX$27,2,0)="Yes"))</f>
        <v>1</v>
      </c>
      <c r="FB3" s="17" t="b">
        <f>AND(NOT(ISNUMBER(MATCH(DATE($A$2,INT((COLUMN()-1)/31.001)+$A$1,ROUNDUP(MOD(COLUMN()-1,31.001),0)),HolidayList[Date],0))),(VLOOKUP(VLOOKUP(WEEKDAY(DATE($A$2,INT((COLUMN()-1)/31.001)+$A$1,ROUNDUP(MOD(COLUMN()-1,31.001),0)),2),Sheet3!$D$1:$E$7,2,0),$NW$21:$NX$27,2,0)="Yes"))</f>
        <v>0</v>
      </c>
      <c r="FC3" s="17" t="b">
        <f>AND(NOT(ISNUMBER(MATCH(DATE($A$2,INT((COLUMN()-1)/31.001)+$A$1,ROUNDUP(MOD(COLUMN()-1,31.001),0)),HolidayList[Date],0))),(VLOOKUP(VLOOKUP(WEEKDAY(DATE($A$2,INT((COLUMN()-1)/31.001)+$A$1,ROUNDUP(MOD(COLUMN()-1,31.001),0)),2),Sheet3!$D$1:$E$7,2,0),$NW$21:$NX$27,2,0)="Yes"))</f>
        <v>0</v>
      </c>
      <c r="FD3" s="17" t="b">
        <f>AND(NOT(ISNUMBER(MATCH(DATE($A$2,INT((COLUMN()-1)/31.001)+$A$1,ROUNDUP(MOD(COLUMN()-1,31.001),0)),HolidayList[Date],0))),(VLOOKUP(VLOOKUP(WEEKDAY(DATE($A$2,INT((COLUMN()-1)/31.001)+$A$1,ROUNDUP(MOD(COLUMN()-1,31.001),0)),2),Sheet3!$D$1:$E$7,2,0),$NW$21:$NX$27,2,0)="Yes"))</f>
        <v>1</v>
      </c>
      <c r="FE3" s="17" t="b">
        <f>AND(NOT(ISNUMBER(MATCH(DATE($A$2,INT((COLUMN()-1)/31.001)+$A$1,ROUNDUP(MOD(COLUMN()-1,31.001),0)),HolidayList[Date],0))),(VLOOKUP(VLOOKUP(WEEKDAY(DATE($A$2,INT((COLUMN()-1)/31.001)+$A$1,ROUNDUP(MOD(COLUMN()-1,31.001),0)),2),Sheet3!$D$1:$E$7,2,0),$NW$21:$NX$27,2,0)="Yes"))</f>
        <v>1</v>
      </c>
      <c r="FF3" s="17" t="b">
        <f>AND(NOT(ISNUMBER(MATCH(DATE($A$2,INT((COLUMN()-1)/31.001)+$A$1,ROUNDUP(MOD(COLUMN()-1,31.001),0)),HolidayList[Date],0))),(VLOOKUP(VLOOKUP(WEEKDAY(DATE($A$2,INT((COLUMN()-1)/31.001)+$A$1,ROUNDUP(MOD(COLUMN()-1,31.001),0)),2),Sheet3!$D$1:$E$7,2,0),$NW$21:$NX$27,2,0)="Yes"))</f>
        <v>1</v>
      </c>
      <c r="FG3" s="17" t="b">
        <f>AND(NOT(ISNUMBER(MATCH(DATE($A$2,INT((COLUMN()-1)/31.001)+$A$1,ROUNDUP(MOD(COLUMN()-1,31.001),0)),HolidayList[Date],0))),(VLOOKUP(VLOOKUP(WEEKDAY(DATE($A$2,INT((COLUMN()-1)/31.001)+$A$1,ROUNDUP(MOD(COLUMN()-1,31.001),0)),2),Sheet3!$D$1:$E$7,2,0),$NW$21:$NX$27,2,0)="Yes"))</f>
        <v>1</v>
      </c>
      <c r="FH3" s="17" t="b">
        <f>AND(NOT(ISNUMBER(MATCH(DATE($A$2,INT((COLUMN()-1)/31.001)+$A$1,ROUNDUP(MOD(COLUMN()-1,31.001),0)),HolidayList[Date],0))),(VLOOKUP(VLOOKUP(WEEKDAY(DATE($A$2,INT((COLUMN()-1)/31.001)+$A$1,ROUNDUP(MOD(COLUMN()-1,31.001),0)),2),Sheet3!$D$1:$E$7,2,0),$NW$21:$NX$27,2,0)="Yes"))</f>
        <v>1</v>
      </c>
      <c r="FI3" s="17" t="b">
        <f>AND(NOT(ISNUMBER(MATCH(DATE($A$2,INT((COLUMN()-1)/31.001)+$A$1,ROUNDUP(MOD(COLUMN()-1,31.001),0)),HolidayList[Date],0))),(VLOOKUP(VLOOKUP(WEEKDAY(DATE($A$2,INT((COLUMN()-1)/31.001)+$A$1,ROUNDUP(MOD(COLUMN()-1,31.001),0)),2),Sheet3!$D$1:$E$7,2,0),$NW$21:$NX$27,2,0)="Yes"))</f>
        <v>0</v>
      </c>
      <c r="FJ3" s="17" t="b">
        <f>AND(NOT(ISNUMBER(MATCH(DATE($A$2,INT((COLUMN()-1)/31.001)+$A$1,ROUNDUP(MOD(COLUMN()-1,31.001),0)),HolidayList[Date],0))),(VLOOKUP(VLOOKUP(WEEKDAY(DATE($A$2,INT((COLUMN()-1)/31.001)+$A$1,ROUNDUP(MOD(COLUMN()-1,31.001),0)),2),Sheet3!$D$1:$E$7,2,0),$NW$21:$NX$27,2,0)="Yes"))</f>
        <v>0</v>
      </c>
      <c r="FK3" s="17" t="b">
        <f>AND(NOT(ISNUMBER(MATCH(DATE($A$2,INT((COLUMN()-1)/31.001)+$A$1,ROUNDUP(MOD(COLUMN()-1,31.001),0)),HolidayList[Date],0))),(VLOOKUP(VLOOKUP(WEEKDAY(DATE($A$2,INT((COLUMN()-1)/31.001)+$A$1,ROUNDUP(MOD(COLUMN()-1,31.001),0)),2),Sheet3!$D$1:$E$7,2,0),$NW$21:$NX$27,2,0)="Yes"))</f>
        <v>1</v>
      </c>
      <c r="FL3" s="17" t="b">
        <f>AND(NOT(ISNUMBER(MATCH(DATE($A$2,INT((COLUMN()-1)/31.001)+$A$1,ROUNDUP(MOD(COLUMN()-1,31.001),0)),HolidayList[Date],0))),(VLOOKUP(VLOOKUP(WEEKDAY(DATE($A$2,INT((COLUMN()-1)/31.001)+$A$1,ROUNDUP(MOD(COLUMN()-1,31.001),0)),2),Sheet3!$D$1:$E$7,2,0),$NW$21:$NX$27,2,0)="Yes"))</f>
        <v>1</v>
      </c>
      <c r="FM3" s="17" t="b">
        <f>AND(NOT(ISNUMBER(MATCH(DATE($A$2,INT((COLUMN()-1)/31.001)+$A$1,ROUNDUP(MOD(COLUMN()-1,31.001),0)),HolidayList[Date],0))),(VLOOKUP(VLOOKUP(WEEKDAY(DATE($A$2,INT((COLUMN()-1)/31.001)+$A$1,ROUNDUP(MOD(COLUMN()-1,31.001),0)),2),Sheet3!$D$1:$E$7,2,0),$NW$21:$NX$27,2,0)="Yes"))</f>
        <v>1</v>
      </c>
      <c r="FN3" s="17" t="b">
        <f>AND(NOT(ISNUMBER(MATCH(DATE($A$2,INT((COLUMN()-1)/31.001)+$A$1,ROUNDUP(MOD(COLUMN()-1,31.001),0)),HolidayList[Date],0))),(VLOOKUP(VLOOKUP(WEEKDAY(DATE($A$2,INT((COLUMN()-1)/31.001)+$A$1,ROUNDUP(MOD(COLUMN()-1,31.001),0)),2),Sheet3!$D$1:$E$7,2,0),$NW$21:$NX$27,2,0)="Yes"))</f>
        <v>1</v>
      </c>
      <c r="FO3" s="17" t="b">
        <f>AND(NOT(ISNUMBER(MATCH(DATE($A$2,INT((COLUMN()-1)/31.001)+$A$1,ROUNDUP(MOD(COLUMN()-1,31.001),0)),HolidayList[Date],0))),(VLOOKUP(VLOOKUP(WEEKDAY(DATE($A$2,INT((COLUMN()-1)/31.001)+$A$1,ROUNDUP(MOD(COLUMN()-1,31.001),0)),2),Sheet3!$D$1:$E$7,2,0),$NW$21:$NX$27,2,0)="Yes"))</f>
        <v>1</v>
      </c>
      <c r="FP3" s="17" t="b">
        <f>AND(NOT(ISNUMBER(MATCH(DATE($A$2,INT((COLUMN()-1)/31.001)+$A$1,ROUNDUP(MOD(COLUMN()-1,31.001),0)),HolidayList[Date],0))),(VLOOKUP(VLOOKUP(WEEKDAY(DATE($A$2,INT((COLUMN()-1)/31.001)+$A$1,ROUNDUP(MOD(COLUMN()-1,31.001),0)),2),Sheet3!$D$1:$E$7,2,0),$NW$21:$NX$27,2,0)="Yes"))</f>
        <v>0</v>
      </c>
      <c r="FQ3" s="17" t="b">
        <f>AND(NOT(ISNUMBER(MATCH(DATE($A$2,INT((COLUMN()-1)/31.001)+$A$1,ROUNDUP(MOD(COLUMN()-1,31.001),0)),HolidayList[Date],0))),(VLOOKUP(VLOOKUP(WEEKDAY(DATE($A$2,INT((COLUMN()-1)/31.001)+$A$1,ROUNDUP(MOD(COLUMN()-1,31.001),0)),2),Sheet3!$D$1:$E$7,2,0),$NW$21:$NX$27,2,0)="Yes"))</f>
        <v>0</v>
      </c>
      <c r="FR3" s="17" t="b">
        <f>AND(NOT(ISNUMBER(MATCH(DATE($A$2,INT((COLUMN()-1)/31.001)+$A$1,ROUNDUP(MOD(COLUMN()-1,31.001),0)),HolidayList[Date],0))),(VLOOKUP(VLOOKUP(WEEKDAY(DATE($A$2,INT((COLUMN()-1)/31.001)+$A$1,ROUNDUP(MOD(COLUMN()-1,31.001),0)),2),Sheet3!$D$1:$E$7,2,0),$NW$21:$NX$27,2,0)="Yes"))</f>
        <v>1</v>
      </c>
      <c r="FS3" s="17" t="b">
        <f>AND(NOT(ISNUMBER(MATCH(DATE($A$2,INT((COLUMN()-1)/31.001)+$A$1,ROUNDUP(MOD(COLUMN()-1,31.001),0)),HolidayList[Date],0))),(VLOOKUP(VLOOKUP(WEEKDAY(DATE($A$2,INT((COLUMN()-1)/31.001)+$A$1,ROUNDUP(MOD(COLUMN()-1,31.001),0)),2),Sheet3!$D$1:$E$7,2,0),$NW$21:$NX$27,2,0)="Yes"))</f>
        <v>1</v>
      </c>
      <c r="FT3" s="17" t="b">
        <f>AND(NOT(ISNUMBER(MATCH(DATE($A$2,INT((COLUMN()-1)/31.001)+$A$1,ROUNDUP(MOD(COLUMN()-1,31.001),0)),HolidayList[Date],0))),(VLOOKUP(VLOOKUP(WEEKDAY(DATE($A$2,INT((COLUMN()-1)/31.001)+$A$1,ROUNDUP(MOD(COLUMN()-1,31.001),0)),2),Sheet3!$D$1:$E$7,2,0),$NW$21:$NX$27,2,0)="Yes"))</f>
        <v>1</v>
      </c>
      <c r="FU3" s="17" t="b">
        <f>AND(NOT(ISNUMBER(MATCH(DATE($A$2,INT((COLUMN()-1)/31.001)+$A$1,ROUNDUP(MOD(COLUMN()-1,31.001),0)),HolidayList[Date],0))),(VLOOKUP(VLOOKUP(WEEKDAY(DATE($A$2,INT((COLUMN()-1)/31.001)+$A$1,ROUNDUP(MOD(COLUMN()-1,31.001),0)),2),Sheet3!$D$1:$E$7,2,0),$NW$21:$NX$27,2,0)="Yes"))</f>
        <v>1</v>
      </c>
      <c r="FV3" s="17" t="b">
        <f>AND(NOT(ISNUMBER(MATCH(DATE($A$2,INT((COLUMN()-1)/31.001)+$A$1,ROUNDUP(MOD(COLUMN()-1,31.001),0)),HolidayList[Date],0))),(VLOOKUP(VLOOKUP(WEEKDAY(DATE($A$2,INT((COLUMN()-1)/31.001)+$A$1,ROUNDUP(MOD(COLUMN()-1,31.001),0)),2),Sheet3!$D$1:$E$7,2,0),$NW$21:$NX$27,2,0)="Yes"))</f>
        <v>1</v>
      </c>
      <c r="FW3" s="17" t="b">
        <f>AND(NOT(ISNUMBER(MATCH(DATE($A$2,INT((COLUMN()-1)/31.001)+$A$1,ROUNDUP(MOD(COLUMN()-1,31.001),0)),HolidayList[Date],0))),(VLOOKUP(VLOOKUP(WEEKDAY(DATE($A$2,INT((COLUMN()-1)/31.001)+$A$1,ROUNDUP(MOD(COLUMN()-1,31.001),0)),2),Sheet3!$D$1:$E$7,2,0),$NW$21:$NX$27,2,0)="Yes"))</f>
        <v>0</v>
      </c>
      <c r="FX3" s="17" t="b">
        <f>AND(NOT(ISNUMBER(MATCH(DATE($A$2,INT((COLUMN()-1)/31.001)+$A$1,ROUNDUP(MOD(COLUMN()-1,31.001),0)),HolidayList[Date],0))),(VLOOKUP(VLOOKUP(WEEKDAY(DATE($A$2,INT((COLUMN()-1)/31.001)+$A$1,ROUNDUP(MOD(COLUMN()-1,31.001),0)),2),Sheet3!$D$1:$E$7,2,0),$NW$21:$NX$27,2,0)="Yes"))</f>
        <v>0</v>
      </c>
      <c r="FY3" s="17" t="b">
        <f>AND(NOT(ISNUMBER(MATCH(DATE($A$2,INT((COLUMN()-1)/31.001)+$A$1,ROUNDUP(MOD(COLUMN()-1,31.001),0)),HolidayList[Date],0))),(VLOOKUP(VLOOKUP(WEEKDAY(DATE($A$2,INT((COLUMN()-1)/31.001)+$A$1,ROUNDUP(MOD(COLUMN()-1,31.001),0)),2),Sheet3!$D$1:$E$7,2,0),$NW$21:$NX$27,2,0)="Yes"))</f>
        <v>1</v>
      </c>
      <c r="FZ3" s="17" t="b">
        <f>AND(NOT(ISNUMBER(MATCH(DATE($A$2,INT((COLUMN()-1)/31.001)+$A$1,ROUNDUP(MOD(COLUMN()-1,31.001),0)),HolidayList[Date],0))),(VLOOKUP(VLOOKUP(WEEKDAY(DATE($A$2,INT((COLUMN()-1)/31.001)+$A$1,ROUNDUP(MOD(COLUMN()-1,31.001),0)),2),Sheet3!$D$1:$E$7,2,0),$NW$21:$NX$27,2,0)="Yes"))</f>
        <v>1</v>
      </c>
      <c r="GA3" s="17" t="b">
        <f>AND(NOT(ISNUMBER(MATCH(DATE($A$2,INT((COLUMN()-1)/31.001)+$A$1,ROUNDUP(MOD(COLUMN()-1,31.001),0)),HolidayList[Date],0))),(VLOOKUP(VLOOKUP(WEEKDAY(DATE($A$2,INT((COLUMN()-1)/31.001)+$A$1,ROUNDUP(MOD(COLUMN()-1,31.001),0)),2),Sheet3!$D$1:$E$7,2,0),$NW$21:$NX$27,2,0)="Yes"))</f>
        <v>1</v>
      </c>
      <c r="GB3" s="17" t="b">
        <f>AND(NOT(ISNUMBER(MATCH(DATE($A$2,INT((COLUMN()-1)/31.001)+$A$1,ROUNDUP(MOD(COLUMN()-1,31.001),0)),HolidayList[Date],0))),(VLOOKUP(VLOOKUP(WEEKDAY(DATE($A$2,INT((COLUMN()-1)/31.001)+$A$1,ROUNDUP(MOD(COLUMN()-1,31.001),0)),2),Sheet3!$D$1:$E$7,2,0),$NW$21:$NX$27,2,0)="Yes"))</f>
        <v>1</v>
      </c>
      <c r="GC3" s="17" t="b">
        <f>AND(NOT(ISNUMBER(MATCH(DATE($A$2,INT((COLUMN()-1)/31.001)+$A$1,ROUNDUP(MOD(COLUMN()-1,31.001),0)),HolidayList[Date],0))),(VLOOKUP(VLOOKUP(WEEKDAY(DATE($A$2,INT((COLUMN()-1)/31.001)+$A$1,ROUNDUP(MOD(COLUMN()-1,31.001),0)),2),Sheet3!$D$1:$E$7,2,0),$NW$21:$NX$27,2,0)="Yes"))</f>
        <v>1</v>
      </c>
      <c r="GD3" s="17" t="b">
        <f>AND(NOT(ISNUMBER(MATCH(DATE($A$2,INT((COLUMN()-1)/31.001)+$A$1,ROUNDUP(MOD(COLUMN()-1,31.001),0)),HolidayList[Date],0))),(VLOOKUP(VLOOKUP(WEEKDAY(DATE($A$2,INT((COLUMN()-1)/31.001)+$A$1,ROUNDUP(MOD(COLUMN()-1,31.001),0)),2),Sheet3!$D$1:$E$7,2,0),$NW$21:$NX$27,2,0)="Yes"))</f>
        <v>0</v>
      </c>
      <c r="GE3" s="17" t="b">
        <f>AND(NOT(ISNUMBER(MATCH(DATE($A$2,INT((COLUMN()-1)/31.001)+$A$1,ROUNDUP(MOD(COLUMN()-1,31.001),0)),HolidayList[Date],0))),(VLOOKUP(VLOOKUP(WEEKDAY(DATE($A$2,INT((COLUMN()-1)/31.001)+$A$1,ROUNDUP(MOD(COLUMN()-1,31.001),0)),2),Sheet3!$D$1:$E$7,2,0),$NW$21:$NX$27,2,0)="Yes"))</f>
        <v>0</v>
      </c>
      <c r="GF3" s="17" t="b">
        <f>AND(NOT(ISNUMBER(MATCH(DATE($A$2,INT((COLUMN()-1)/31.001)+$A$1,ROUNDUP(MOD(COLUMN()-1,31.001),0)),HolidayList[Date],0))),(VLOOKUP(VLOOKUP(WEEKDAY(DATE($A$2,INT((COLUMN()-1)/31.001)+$A$1,ROUNDUP(MOD(COLUMN()-1,31.001),0)),2),Sheet3!$D$1:$E$7,2,0),$NW$21:$NX$27,2,0)="Yes"))</f>
        <v>0</v>
      </c>
      <c r="GG3" s="17" t="b">
        <f>AND(NOT(ISNUMBER(MATCH(DATE($A$2,INT((COLUMN()-1)/31.001)+$A$1,ROUNDUP(MOD(COLUMN()-1,31.001),0)),HolidayList[Date],0))),(VLOOKUP(VLOOKUP(WEEKDAY(DATE($A$2,INT((COLUMN()-1)/31.001)+$A$1,ROUNDUP(MOD(COLUMN()-1,31.001),0)),2),Sheet3!$D$1:$E$7,2,0),$NW$21:$NX$27,2,0)="Yes"))</f>
        <v>1</v>
      </c>
      <c r="GH3" s="17" t="b">
        <f>AND(NOT(ISNUMBER(MATCH(DATE($A$2,INT((COLUMN()-1)/31.001)+$A$1,ROUNDUP(MOD(COLUMN()-1,31.001),0)),HolidayList[Date],0))),(VLOOKUP(VLOOKUP(WEEKDAY(DATE($A$2,INT((COLUMN()-1)/31.001)+$A$1,ROUNDUP(MOD(COLUMN()-1,31.001),0)),2),Sheet3!$D$1:$E$7,2,0),$NW$21:$NX$27,2,0)="Yes"))</f>
        <v>1</v>
      </c>
      <c r="GI3" s="17" t="b">
        <f>AND(NOT(ISNUMBER(MATCH(DATE($A$2,INT((COLUMN()-1)/31.001)+$A$1,ROUNDUP(MOD(COLUMN()-1,31.001),0)),HolidayList[Date],0))),(VLOOKUP(VLOOKUP(WEEKDAY(DATE($A$2,INT((COLUMN()-1)/31.001)+$A$1,ROUNDUP(MOD(COLUMN()-1,31.001),0)),2),Sheet3!$D$1:$E$7,2,0),$NW$21:$NX$27,2,0)="Yes"))</f>
        <v>0</v>
      </c>
      <c r="GJ3" s="17" t="b">
        <f>AND(NOT(ISNUMBER(MATCH(DATE($A$2,INT((COLUMN()-1)/31.001)+$A$1,ROUNDUP(MOD(COLUMN()-1,31.001),0)),HolidayList[Date],0))),(VLOOKUP(VLOOKUP(WEEKDAY(DATE($A$2,INT((COLUMN()-1)/31.001)+$A$1,ROUNDUP(MOD(COLUMN()-1,31.001),0)),2),Sheet3!$D$1:$E$7,2,0),$NW$21:$NX$27,2,0)="Yes"))</f>
        <v>1</v>
      </c>
      <c r="GK3" s="17" t="b">
        <f>AND(NOT(ISNUMBER(MATCH(DATE($A$2,INT((COLUMN()-1)/31.001)+$A$1,ROUNDUP(MOD(COLUMN()-1,31.001),0)),HolidayList[Date],0))),(VLOOKUP(VLOOKUP(WEEKDAY(DATE($A$2,INT((COLUMN()-1)/31.001)+$A$1,ROUNDUP(MOD(COLUMN()-1,31.001),0)),2),Sheet3!$D$1:$E$7,2,0),$NW$21:$NX$27,2,0)="Yes"))</f>
        <v>1</v>
      </c>
      <c r="GL3" s="17" t="b">
        <f>AND(NOT(ISNUMBER(MATCH(DATE($A$2,INT((COLUMN()-1)/31.001)+$A$1,ROUNDUP(MOD(COLUMN()-1,31.001),0)),HolidayList[Date],0))),(VLOOKUP(VLOOKUP(WEEKDAY(DATE($A$2,INT((COLUMN()-1)/31.001)+$A$1,ROUNDUP(MOD(COLUMN()-1,31.001),0)),2),Sheet3!$D$1:$E$7,2,0),$NW$21:$NX$27,2,0)="Yes"))</f>
        <v>0</v>
      </c>
      <c r="GM3" s="17" t="b">
        <f>AND(NOT(ISNUMBER(MATCH(DATE($A$2,INT((COLUMN()-1)/31.001)+$A$1,ROUNDUP(MOD(COLUMN()-1,31.001),0)),HolidayList[Date],0))),(VLOOKUP(VLOOKUP(WEEKDAY(DATE($A$2,INT((COLUMN()-1)/31.001)+$A$1,ROUNDUP(MOD(COLUMN()-1,31.001),0)),2),Sheet3!$D$1:$E$7,2,0),$NW$21:$NX$27,2,0)="Yes"))</f>
        <v>0</v>
      </c>
      <c r="GN3" s="17" t="b">
        <f>AND(NOT(ISNUMBER(MATCH(DATE($A$2,INT((COLUMN()-1)/31.001)+$A$1,ROUNDUP(MOD(COLUMN()-1,31.001),0)),HolidayList[Date],0))),(VLOOKUP(VLOOKUP(WEEKDAY(DATE($A$2,INT((COLUMN()-1)/31.001)+$A$1,ROUNDUP(MOD(COLUMN()-1,31.001),0)),2),Sheet3!$D$1:$E$7,2,0),$NW$21:$NX$27,2,0)="Yes"))</f>
        <v>1</v>
      </c>
      <c r="GO3" s="17" t="b">
        <f>AND(NOT(ISNUMBER(MATCH(DATE($A$2,INT((COLUMN()-1)/31.001)+$A$1,ROUNDUP(MOD(COLUMN()-1,31.001),0)),HolidayList[Date],0))),(VLOOKUP(VLOOKUP(WEEKDAY(DATE($A$2,INT((COLUMN()-1)/31.001)+$A$1,ROUNDUP(MOD(COLUMN()-1,31.001),0)),2),Sheet3!$D$1:$E$7,2,0),$NW$21:$NX$27,2,0)="Yes"))</f>
        <v>1</v>
      </c>
      <c r="GP3" s="17" t="b">
        <f>AND(NOT(ISNUMBER(MATCH(DATE($A$2,INT((COLUMN()-1)/31.001)+$A$1,ROUNDUP(MOD(COLUMN()-1,31.001),0)),HolidayList[Date],0))),(VLOOKUP(VLOOKUP(WEEKDAY(DATE($A$2,INT((COLUMN()-1)/31.001)+$A$1,ROUNDUP(MOD(COLUMN()-1,31.001),0)),2),Sheet3!$D$1:$E$7,2,0),$NW$21:$NX$27,2,0)="Yes"))</f>
        <v>1</v>
      </c>
      <c r="GQ3" s="17" t="b">
        <f>AND(NOT(ISNUMBER(MATCH(DATE($A$2,INT((COLUMN()-1)/31.001)+$A$1,ROUNDUP(MOD(COLUMN()-1,31.001),0)),HolidayList[Date],0))),(VLOOKUP(VLOOKUP(WEEKDAY(DATE($A$2,INT((COLUMN()-1)/31.001)+$A$1,ROUNDUP(MOD(COLUMN()-1,31.001),0)),2),Sheet3!$D$1:$E$7,2,0),$NW$21:$NX$27,2,0)="Yes"))</f>
        <v>1</v>
      </c>
      <c r="GR3" s="17" t="b">
        <f>AND(NOT(ISNUMBER(MATCH(DATE($A$2,INT((COLUMN()-1)/31.001)+$A$1,ROUNDUP(MOD(COLUMN()-1,31.001),0)),HolidayList[Date],0))),(VLOOKUP(VLOOKUP(WEEKDAY(DATE($A$2,INT((COLUMN()-1)/31.001)+$A$1,ROUNDUP(MOD(COLUMN()-1,31.001),0)),2),Sheet3!$D$1:$E$7,2,0),$NW$21:$NX$27,2,0)="Yes"))</f>
        <v>1</v>
      </c>
      <c r="GS3" s="17" t="b">
        <f>AND(NOT(ISNUMBER(MATCH(DATE($A$2,INT((COLUMN()-1)/31.001)+$A$1,ROUNDUP(MOD(COLUMN()-1,31.001),0)),HolidayList[Date],0))),(VLOOKUP(VLOOKUP(WEEKDAY(DATE($A$2,INT((COLUMN()-1)/31.001)+$A$1,ROUNDUP(MOD(COLUMN()-1,31.001),0)),2),Sheet3!$D$1:$E$7,2,0),$NW$21:$NX$27,2,0)="Yes"))</f>
        <v>0</v>
      </c>
      <c r="GT3" s="17" t="b">
        <f>AND(NOT(ISNUMBER(MATCH(DATE($A$2,INT((COLUMN()-1)/31.001)+$A$1,ROUNDUP(MOD(COLUMN()-1,31.001),0)),HolidayList[Date],0))),(VLOOKUP(VLOOKUP(WEEKDAY(DATE($A$2,INT((COLUMN()-1)/31.001)+$A$1,ROUNDUP(MOD(COLUMN()-1,31.001),0)),2),Sheet3!$D$1:$E$7,2,0),$NW$21:$NX$27,2,0)="Yes"))</f>
        <v>0</v>
      </c>
      <c r="GU3" s="17" t="b">
        <f>AND(NOT(ISNUMBER(MATCH(DATE($A$2,INT((COLUMN()-1)/31.001)+$A$1,ROUNDUP(MOD(COLUMN()-1,31.001),0)),HolidayList[Date],0))),(VLOOKUP(VLOOKUP(WEEKDAY(DATE($A$2,INT((COLUMN()-1)/31.001)+$A$1,ROUNDUP(MOD(COLUMN()-1,31.001),0)),2),Sheet3!$D$1:$E$7,2,0),$NW$21:$NX$27,2,0)="Yes"))</f>
        <v>1</v>
      </c>
      <c r="GV3" s="17" t="b">
        <f>AND(NOT(ISNUMBER(MATCH(DATE($A$2,INT((COLUMN()-1)/31.001)+$A$1,ROUNDUP(MOD(COLUMN()-1,31.001),0)),HolidayList[Date],0))),(VLOOKUP(VLOOKUP(WEEKDAY(DATE($A$2,INT((COLUMN()-1)/31.001)+$A$1,ROUNDUP(MOD(COLUMN()-1,31.001),0)),2),Sheet3!$D$1:$E$7,2,0),$NW$21:$NX$27,2,0)="Yes"))</f>
        <v>1</v>
      </c>
      <c r="GW3" s="17" t="b">
        <f>AND(NOT(ISNUMBER(MATCH(DATE($A$2,INT((COLUMN()-1)/31.001)+$A$1,ROUNDUP(MOD(COLUMN()-1,31.001),0)),HolidayList[Date],0))),(VLOOKUP(VLOOKUP(WEEKDAY(DATE($A$2,INT((COLUMN()-1)/31.001)+$A$1,ROUNDUP(MOD(COLUMN()-1,31.001),0)),2),Sheet3!$D$1:$E$7,2,0),$NW$21:$NX$27,2,0)="Yes"))</f>
        <v>1</v>
      </c>
      <c r="GX3" s="17" t="b">
        <f>AND(NOT(ISNUMBER(MATCH(DATE($A$2,INT((COLUMN()-1)/31.001)+$A$1,ROUNDUP(MOD(COLUMN()-1,31.001),0)),HolidayList[Date],0))),(VLOOKUP(VLOOKUP(WEEKDAY(DATE($A$2,INT((COLUMN()-1)/31.001)+$A$1,ROUNDUP(MOD(COLUMN()-1,31.001),0)),2),Sheet3!$D$1:$E$7,2,0),$NW$21:$NX$27,2,0)="Yes"))</f>
        <v>1</v>
      </c>
      <c r="GY3" s="17" t="b">
        <f>AND(NOT(ISNUMBER(MATCH(DATE($A$2,INT((COLUMN()-1)/31.001)+$A$1,ROUNDUP(MOD(COLUMN()-1,31.001),0)),HolidayList[Date],0))),(VLOOKUP(VLOOKUP(WEEKDAY(DATE($A$2,INT((COLUMN()-1)/31.001)+$A$1,ROUNDUP(MOD(COLUMN()-1,31.001),0)),2),Sheet3!$D$1:$E$7,2,0),$NW$21:$NX$27,2,0)="Yes"))</f>
        <v>1</v>
      </c>
      <c r="GZ3" s="17" t="b">
        <f>AND(NOT(ISNUMBER(MATCH(DATE($A$2,INT((COLUMN()-1)/31.001)+$A$1,ROUNDUP(MOD(COLUMN()-1,31.001),0)),HolidayList[Date],0))),(VLOOKUP(VLOOKUP(WEEKDAY(DATE($A$2,INT((COLUMN()-1)/31.001)+$A$1,ROUNDUP(MOD(COLUMN()-1,31.001),0)),2),Sheet3!$D$1:$E$7,2,0),$NW$21:$NX$27,2,0)="Yes"))</f>
        <v>0</v>
      </c>
      <c r="HA3" s="17" t="b">
        <f>AND(NOT(ISNUMBER(MATCH(DATE($A$2,INT((COLUMN()-1)/31.001)+$A$1,ROUNDUP(MOD(COLUMN()-1,31.001),0)),HolidayList[Date],0))),(VLOOKUP(VLOOKUP(WEEKDAY(DATE($A$2,INT((COLUMN()-1)/31.001)+$A$1,ROUNDUP(MOD(COLUMN()-1,31.001),0)),2),Sheet3!$D$1:$E$7,2,0),$NW$21:$NX$27,2,0)="Yes"))</f>
        <v>0</v>
      </c>
      <c r="HB3" s="17" t="b">
        <f>AND(NOT(ISNUMBER(MATCH(DATE($A$2,INT((COLUMN()-1)/31.001)+$A$1,ROUNDUP(MOD(COLUMN()-1,31.001),0)),HolidayList[Date],0))),(VLOOKUP(VLOOKUP(WEEKDAY(DATE($A$2,INT((COLUMN()-1)/31.001)+$A$1,ROUNDUP(MOD(COLUMN()-1,31.001),0)),2),Sheet3!$D$1:$E$7,2,0),$NW$21:$NX$27,2,0)="Yes"))</f>
        <v>1</v>
      </c>
      <c r="HC3" s="17" t="b">
        <f>AND(NOT(ISNUMBER(MATCH(DATE($A$2,INT((COLUMN()-1)/31.001)+$A$1,ROUNDUP(MOD(COLUMN()-1,31.001),0)),HolidayList[Date],0))),(VLOOKUP(VLOOKUP(WEEKDAY(DATE($A$2,INT((COLUMN()-1)/31.001)+$A$1,ROUNDUP(MOD(COLUMN()-1,31.001),0)),2),Sheet3!$D$1:$E$7,2,0),$NW$21:$NX$27,2,0)="Yes"))</f>
        <v>1</v>
      </c>
      <c r="HD3" s="17" t="b">
        <f>AND(NOT(ISNUMBER(MATCH(DATE($A$2,INT((COLUMN()-1)/31.001)+$A$1,ROUNDUP(MOD(COLUMN()-1,31.001),0)),HolidayList[Date],0))),(VLOOKUP(VLOOKUP(WEEKDAY(DATE($A$2,INT((COLUMN()-1)/31.001)+$A$1,ROUNDUP(MOD(COLUMN()-1,31.001),0)),2),Sheet3!$D$1:$E$7,2,0),$NW$21:$NX$27,2,0)="Yes"))</f>
        <v>1</v>
      </c>
      <c r="HE3" s="17" t="b">
        <f>AND(NOT(ISNUMBER(MATCH(DATE($A$2,INT((COLUMN()-1)/31.001)+$A$1,ROUNDUP(MOD(COLUMN()-1,31.001),0)),HolidayList[Date],0))),(VLOOKUP(VLOOKUP(WEEKDAY(DATE($A$2,INT((COLUMN()-1)/31.001)+$A$1,ROUNDUP(MOD(COLUMN()-1,31.001),0)),2),Sheet3!$D$1:$E$7,2,0),$NW$21:$NX$27,2,0)="Yes"))</f>
        <v>1</v>
      </c>
      <c r="HF3" s="17" t="b">
        <f>AND(NOT(ISNUMBER(MATCH(DATE($A$2,INT((COLUMN()-1)/31.001)+$A$1,ROUNDUP(MOD(COLUMN()-1,31.001),0)),HolidayList[Date],0))),(VLOOKUP(VLOOKUP(WEEKDAY(DATE($A$2,INT((COLUMN()-1)/31.001)+$A$1,ROUNDUP(MOD(COLUMN()-1,31.001),0)),2),Sheet3!$D$1:$E$7,2,0),$NW$21:$NX$27,2,0)="Yes"))</f>
        <v>1</v>
      </c>
      <c r="HG3" s="17" t="b">
        <f>AND(NOT(ISNUMBER(MATCH(DATE($A$2,INT((COLUMN()-1)/31.001)+$A$1,ROUNDUP(MOD(COLUMN()-1,31.001),0)),HolidayList[Date],0))),(VLOOKUP(VLOOKUP(WEEKDAY(DATE($A$2,INT((COLUMN()-1)/31.001)+$A$1,ROUNDUP(MOD(COLUMN()-1,31.001),0)),2),Sheet3!$D$1:$E$7,2,0),$NW$21:$NX$27,2,0)="Yes"))</f>
        <v>0</v>
      </c>
      <c r="HH3" s="17" t="b">
        <f>AND(NOT(ISNUMBER(MATCH(DATE($A$2,INT((COLUMN()-1)/31.001)+$A$1,ROUNDUP(MOD(COLUMN()-1,31.001),0)),HolidayList[Date],0))),(VLOOKUP(VLOOKUP(WEEKDAY(DATE($A$2,INT((COLUMN()-1)/31.001)+$A$1,ROUNDUP(MOD(COLUMN()-1,31.001),0)),2),Sheet3!$D$1:$E$7,2,0),$NW$21:$NX$27,2,0)="Yes"))</f>
        <v>0</v>
      </c>
      <c r="HI3" s="17" t="b">
        <f>AND(NOT(ISNUMBER(MATCH(DATE($A$2,INT((COLUMN()-1)/31.001)+$A$1,ROUNDUP(MOD(COLUMN()-1,31.001),0)),HolidayList[Date],0))),(VLOOKUP(VLOOKUP(WEEKDAY(DATE($A$2,INT((COLUMN()-1)/31.001)+$A$1,ROUNDUP(MOD(COLUMN()-1,31.001),0)),2),Sheet3!$D$1:$E$7,2,0),$NW$21:$NX$27,2,0)="Yes"))</f>
        <v>1</v>
      </c>
      <c r="HJ3" s="17" t="b">
        <f>AND(NOT(ISNUMBER(MATCH(DATE($A$2,INT((COLUMN()-1)/31.001)+$A$1,ROUNDUP(MOD(COLUMN()-1,31.001),0)),HolidayList[Date],0))),(VLOOKUP(VLOOKUP(WEEKDAY(DATE($A$2,INT((COLUMN()-1)/31.001)+$A$1,ROUNDUP(MOD(COLUMN()-1,31.001),0)),2),Sheet3!$D$1:$E$7,2,0),$NW$21:$NX$27,2,0)="Yes"))</f>
        <v>1</v>
      </c>
      <c r="HK3" s="17" t="b">
        <f>AND(NOT(ISNUMBER(MATCH(DATE($A$2,INT((COLUMN()-1)/31.001)+$A$1,ROUNDUP(MOD(COLUMN()-1,31.001),0)),HolidayList[Date],0))),(VLOOKUP(VLOOKUP(WEEKDAY(DATE($A$2,INT((COLUMN()-1)/31.001)+$A$1,ROUNDUP(MOD(COLUMN()-1,31.001),0)),2),Sheet3!$D$1:$E$7,2,0),$NW$21:$NX$27,2,0)="Yes"))</f>
        <v>1</v>
      </c>
      <c r="HL3" s="17" t="b">
        <f>AND(NOT(ISNUMBER(MATCH(DATE($A$2,INT((COLUMN()-1)/31.001)+$A$1,ROUNDUP(MOD(COLUMN()-1,31.001),0)),HolidayList[Date],0))),(VLOOKUP(VLOOKUP(WEEKDAY(DATE($A$2,INT((COLUMN()-1)/31.001)+$A$1,ROUNDUP(MOD(COLUMN()-1,31.001),0)),2),Sheet3!$D$1:$E$7,2,0),$NW$21:$NX$27,2,0)="Yes"))</f>
        <v>1</v>
      </c>
      <c r="HM3" s="17" t="b">
        <f>AND(NOT(ISNUMBER(MATCH(DATE($A$2,INT((COLUMN()-1)/31.001)+$A$1,ROUNDUP(MOD(COLUMN()-1,31.001),0)),HolidayList[Date],0))),(VLOOKUP(VLOOKUP(WEEKDAY(DATE($A$2,INT((COLUMN()-1)/31.001)+$A$1,ROUNDUP(MOD(COLUMN()-1,31.001),0)),2),Sheet3!$D$1:$E$7,2,0),$NW$21:$NX$27,2,0)="Yes"))</f>
        <v>1</v>
      </c>
      <c r="HN3" s="17" t="b">
        <f>AND(NOT(ISNUMBER(MATCH(DATE($A$2,INT((COLUMN()-1)/31.001)+$A$1,ROUNDUP(MOD(COLUMN()-1,31.001),0)),HolidayList[Date],0))),(VLOOKUP(VLOOKUP(WEEKDAY(DATE($A$2,INT((COLUMN()-1)/31.001)+$A$1,ROUNDUP(MOD(COLUMN()-1,31.001),0)),2),Sheet3!$D$1:$E$7,2,0),$NW$21:$NX$27,2,0)="Yes"))</f>
        <v>0</v>
      </c>
      <c r="HO3" s="17" t="b">
        <f>AND(NOT(ISNUMBER(MATCH(DATE($A$2,INT((COLUMN()-1)/31.001)+$A$1,ROUNDUP(MOD(COLUMN()-1,31.001),0)),HolidayList[Date],0))),(VLOOKUP(VLOOKUP(WEEKDAY(DATE($A$2,INT((COLUMN()-1)/31.001)+$A$1,ROUNDUP(MOD(COLUMN()-1,31.001),0)),2),Sheet3!$D$1:$E$7,2,0),$NW$21:$NX$27,2,0)="Yes"))</f>
        <v>0</v>
      </c>
      <c r="HP3" s="17" t="b">
        <f>AND(NOT(ISNUMBER(MATCH(DATE($A$2,INT((COLUMN()-1)/31.001)+$A$1,ROUNDUP(MOD(COLUMN()-1,31.001),0)),HolidayList[Date],0))),(VLOOKUP(VLOOKUP(WEEKDAY(DATE($A$2,INT((COLUMN()-1)/31.001)+$A$1,ROUNDUP(MOD(COLUMN()-1,31.001),0)),2),Sheet3!$D$1:$E$7,2,0),$NW$21:$NX$27,2,0)="Yes"))</f>
        <v>1</v>
      </c>
      <c r="HQ3" s="17" t="b">
        <f>AND(NOT(ISNUMBER(MATCH(DATE($A$2,INT((COLUMN()-1)/31.001)+$A$1,ROUNDUP(MOD(COLUMN()-1,31.001),0)),HolidayList[Date],0))),(VLOOKUP(VLOOKUP(WEEKDAY(DATE($A$2,INT((COLUMN()-1)/31.001)+$A$1,ROUNDUP(MOD(COLUMN()-1,31.001),0)),2),Sheet3!$D$1:$E$7,2,0),$NW$21:$NX$27,2,0)="Yes"))</f>
        <v>1</v>
      </c>
      <c r="HR3" s="17" t="b">
        <f>AND(NOT(ISNUMBER(MATCH(DATE($A$2,INT((COLUMN()-1)/31.001)+$A$1,ROUNDUP(MOD(COLUMN()-1,31.001),0)),HolidayList[Date],0))),(VLOOKUP(VLOOKUP(WEEKDAY(DATE($A$2,INT((COLUMN()-1)/31.001)+$A$1,ROUNDUP(MOD(COLUMN()-1,31.001),0)),2),Sheet3!$D$1:$E$7,2,0),$NW$21:$NX$27,2,0)="Yes"))</f>
        <v>1</v>
      </c>
      <c r="HS3" s="17" t="b">
        <f>AND(NOT(ISNUMBER(MATCH(DATE($A$2,INT((COLUMN()-1)/31.001)+$A$1,ROUNDUP(MOD(COLUMN()-1,31.001),0)),HolidayList[Date],0))),(VLOOKUP(VLOOKUP(WEEKDAY(DATE($A$2,INT((COLUMN()-1)/31.001)+$A$1,ROUNDUP(MOD(COLUMN()-1,31.001),0)),2),Sheet3!$D$1:$E$7,2,0),$NW$21:$NX$27,2,0)="Yes"))</f>
        <v>1</v>
      </c>
      <c r="HT3" s="17" t="b">
        <f>AND(NOT(ISNUMBER(MATCH(DATE($A$2,INT((COLUMN()-1)/31.001)+$A$1,ROUNDUP(MOD(COLUMN()-1,31.001),0)),HolidayList[Date],0))),(VLOOKUP(VLOOKUP(WEEKDAY(DATE($A$2,INT((COLUMN()-1)/31.001)+$A$1,ROUNDUP(MOD(COLUMN()-1,31.001),0)),2),Sheet3!$D$1:$E$7,2,0),$NW$21:$NX$27,2,0)="Yes"))</f>
        <v>1</v>
      </c>
      <c r="HU3" s="17" t="b">
        <f>AND(NOT(ISNUMBER(MATCH(DATE($A$2,INT((COLUMN()-1)/31.001)+$A$1,ROUNDUP(MOD(COLUMN()-1,31.001),0)),HolidayList[Date],0))),(VLOOKUP(VLOOKUP(WEEKDAY(DATE($A$2,INT((COLUMN()-1)/31.001)+$A$1,ROUNDUP(MOD(COLUMN()-1,31.001),0)),2),Sheet3!$D$1:$E$7,2,0),$NW$21:$NX$27,2,0)="Yes"))</f>
        <v>0</v>
      </c>
      <c r="HV3" s="17" t="b">
        <f>AND(NOT(ISNUMBER(MATCH(DATE($A$2,INT((COLUMN()-1)/31.001)+$A$1,ROUNDUP(MOD(COLUMN()-1,31.001),0)),HolidayList[Date],0))),(VLOOKUP(VLOOKUP(WEEKDAY(DATE($A$2,INT((COLUMN()-1)/31.001)+$A$1,ROUNDUP(MOD(COLUMN()-1,31.001),0)),2),Sheet3!$D$1:$E$7,2,0),$NW$21:$NX$27,2,0)="Yes"))</f>
        <v>0</v>
      </c>
      <c r="HW3" s="17" t="b">
        <f>AND(NOT(ISNUMBER(MATCH(DATE($A$2,INT((COLUMN()-1)/31.001)+$A$1,ROUNDUP(MOD(COLUMN()-1,31.001),0)),HolidayList[Date],0))),(VLOOKUP(VLOOKUP(WEEKDAY(DATE($A$2,INT((COLUMN()-1)/31.001)+$A$1,ROUNDUP(MOD(COLUMN()-1,31.001),0)),2),Sheet3!$D$1:$E$7,2,0),$NW$21:$NX$27,2,0)="Yes"))</f>
        <v>1</v>
      </c>
      <c r="HX3" s="17" t="b">
        <f>AND(NOT(ISNUMBER(MATCH(DATE($A$2,INT((COLUMN()-1)/31.001)+$A$1,ROUNDUP(MOD(COLUMN()-1,31.001),0)),HolidayList[Date],0))),(VLOOKUP(VLOOKUP(WEEKDAY(DATE($A$2,INT((COLUMN()-1)/31.001)+$A$1,ROUNDUP(MOD(COLUMN()-1,31.001),0)),2),Sheet3!$D$1:$E$7,2,0),$NW$21:$NX$27,2,0)="Yes"))</f>
        <v>1</v>
      </c>
      <c r="HY3" s="17" t="b">
        <f>AND(NOT(ISNUMBER(MATCH(DATE($A$2,INT((COLUMN()-1)/31.001)+$A$1,ROUNDUP(MOD(COLUMN()-1,31.001),0)),HolidayList[Date],0))),(VLOOKUP(VLOOKUP(WEEKDAY(DATE($A$2,INT((COLUMN()-1)/31.001)+$A$1,ROUNDUP(MOD(COLUMN()-1,31.001),0)),2),Sheet3!$D$1:$E$7,2,0),$NW$21:$NX$27,2,0)="Yes"))</f>
        <v>1</v>
      </c>
      <c r="HZ3" s="17" t="b">
        <f>AND(NOT(ISNUMBER(MATCH(DATE($A$2,INT((COLUMN()-1)/31.001)+$A$1,ROUNDUP(MOD(COLUMN()-1,31.001),0)),HolidayList[Date],0))),(VLOOKUP(VLOOKUP(WEEKDAY(DATE($A$2,INT((COLUMN()-1)/31.001)+$A$1,ROUNDUP(MOD(COLUMN()-1,31.001),0)),2),Sheet3!$D$1:$E$7,2,0),$NW$21:$NX$27,2,0)="Yes"))</f>
        <v>1</v>
      </c>
      <c r="IA3" s="17" t="b">
        <f>AND(NOT(ISNUMBER(MATCH(DATE($A$2,INT((COLUMN()-1)/31.001)+$A$1,ROUNDUP(MOD(COLUMN()-1,31.001),0)),HolidayList[Date],0))),(VLOOKUP(VLOOKUP(WEEKDAY(DATE($A$2,INT((COLUMN()-1)/31.001)+$A$1,ROUNDUP(MOD(COLUMN()-1,31.001),0)),2),Sheet3!$D$1:$E$7,2,0),$NW$21:$NX$27,2,0)="Yes"))</f>
        <v>1</v>
      </c>
      <c r="IB3" s="17" t="b">
        <f>AND(NOT(ISNUMBER(MATCH(DATE($A$2,INT((COLUMN()-1)/31.001)+$A$1,ROUNDUP(MOD(COLUMN()-1,31.001),0)),HolidayList[Date],0))),(VLOOKUP(VLOOKUP(WEEKDAY(DATE($A$2,INT((COLUMN()-1)/31.001)+$A$1,ROUNDUP(MOD(COLUMN()-1,31.001),0)),2),Sheet3!$D$1:$E$7,2,0),$NW$21:$NX$27,2,0)="Yes"))</f>
        <v>0</v>
      </c>
      <c r="IC3" s="17" t="b">
        <f>AND(NOT(ISNUMBER(MATCH(DATE($A$2,INT((COLUMN()-1)/31.001)+$A$1,ROUNDUP(MOD(COLUMN()-1,31.001),0)),HolidayList[Date],0))),(VLOOKUP(VLOOKUP(WEEKDAY(DATE($A$2,INT((COLUMN()-1)/31.001)+$A$1,ROUNDUP(MOD(COLUMN()-1,31.001),0)),2),Sheet3!$D$1:$E$7,2,0),$NW$21:$NX$27,2,0)="Yes"))</f>
        <v>0</v>
      </c>
      <c r="ID3" s="17" t="b">
        <f>AND(NOT(ISNUMBER(MATCH(DATE($A$2,INT((COLUMN()-1)/31.001)+$A$1,ROUNDUP(MOD(COLUMN()-1,31.001),0)),HolidayList[Date],0))),(VLOOKUP(VLOOKUP(WEEKDAY(DATE($A$2,INT((COLUMN()-1)/31.001)+$A$1,ROUNDUP(MOD(COLUMN()-1,31.001),0)),2),Sheet3!$D$1:$E$7,2,0),$NW$21:$NX$27,2,0)="Yes"))</f>
        <v>1</v>
      </c>
      <c r="IE3" s="17" t="b">
        <f>AND(NOT(ISNUMBER(MATCH(DATE($A$2,INT((COLUMN()-1)/31.001)+$A$1,ROUNDUP(MOD(COLUMN()-1,31.001),0)),HolidayList[Date],0))),(VLOOKUP(VLOOKUP(WEEKDAY(DATE($A$2,INT((COLUMN()-1)/31.001)+$A$1,ROUNDUP(MOD(COLUMN()-1,31.001),0)),2),Sheet3!$D$1:$E$7,2,0),$NW$21:$NX$27,2,0)="Yes"))</f>
        <v>1</v>
      </c>
      <c r="IF3" s="17" t="b">
        <f>AND(NOT(ISNUMBER(MATCH(DATE($A$2,INT((COLUMN()-1)/31.001)+$A$1,ROUNDUP(MOD(COLUMN()-1,31.001),0)),HolidayList[Date],0))),(VLOOKUP(VLOOKUP(WEEKDAY(DATE($A$2,INT((COLUMN()-1)/31.001)+$A$1,ROUNDUP(MOD(COLUMN()-1,31.001),0)),2),Sheet3!$D$1:$E$7,2,0),$NW$21:$NX$27,2,0)="Yes"))</f>
        <v>1</v>
      </c>
      <c r="IG3" s="17" t="b">
        <f>AND(NOT(ISNUMBER(MATCH(DATE($A$2,INT((COLUMN()-1)/31.001)+$A$1,ROUNDUP(MOD(COLUMN()-1,31.001),0)),HolidayList[Date],0))),(VLOOKUP(VLOOKUP(WEEKDAY(DATE($A$2,INT((COLUMN()-1)/31.001)+$A$1,ROUNDUP(MOD(COLUMN()-1,31.001),0)),2),Sheet3!$D$1:$E$7,2,0),$NW$21:$NX$27,2,0)="Yes"))</f>
        <v>1</v>
      </c>
      <c r="IH3" s="17" t="b">
        <f>AND(NOT(ISNUMBER(MATCH(DATE($A$2,INT((COLUMN()-1)/31.001)+$A$1,ROUNDUP(MOD(COLUMN()-1,31.001),0)),HolidayList[Date],0))),(VLOOKUP(VLOOKUP(WEEKDAY(DATE($A$2,INT((COLUMN()-1)/31.001)+$A$1,ROUNDUP(MOD(COLUMN()-1,31.001),0)),2),Sheet3!$D$1:$E$7,2,0),$NW$21:$NX$27,2,0)="Yes"))</f>
        <v>1</v>
      </c>
      <c r="II3" s="17" t="b">
        <f>AND(NOT(ISNUMBER(MATCH(DATE($A$2,INT((COLUMN()-1)/31.001)+$A$1,ROUNDUP(MOD(COLUMN()-1,31.001),0)),HolidayList[Date],0))),(VLOOKUP(VLOOKUP(WEEKDAY(DATE($A$2,INT((COLUMN()-1)/31.001)+$A$1,ROUNDUP(MOD(COLUMN()-1,31.001),0)),2),Sheet3!$D$1:$E$7,2,0),$NW$21:$NX$27,2,0)="Yes"))</f>
        <v>0</v>
      </c>
      <c r="IJ3" s="17" t="b">
        <f>AND(NOT(ISNUMBER(MATCH(DATE($A$2,INT((COLUMN()-1)/31.001)+$A$1,ROUNDUP(MOD(COLUMN()-1,31.001),0)),HolidayList[Date],0))),(VLOOKUP(VLOOKUP(WEEKDAY(DATE($A$2,INT((COLUMN()-1)/31.001)+$A$1,ROUNDUP(MOD(COLUMN()-1,31.001),0)),2),Sheet3!$D$1:$E$7,2,0),$NW$21:$NX$27,2,0)="Yes"))</f>
        <v>0</v>
      </c>
      <c r="IK3" s="17" t="b">
        <f>AND(NOT(ISNUMBER(MATCH(DATE($A$2,INT((COLUMN()-1)/31.001)+$A$1,ROUNDUP(MOD(COLUMN()-1,31.001),0)),HolidayList[Date],0))),(VLOOKUP(VLOOKUP(WEEKDAY(DATE($A$2,INT((COLUMN()-1)/31.001)+$A$1,ROUNDUP(MOD(COLUMN()-1,31.001),0)),2),Sheet3!$D$1:$E$7,2,0),$NW$21:$NX$27,2,0)="Yes"))</f>
        <v>1</v>
      </c>
      <c r="IL3" s="17" t="b">
        <f>AND(NOT(ISNUMBER(MATCH(DATE($A$2,INT((COLUMN()-1)/31.001)+$A$1,ROUNDUP(MOD(COLUMN()-1,31.001),0)),HolidayList[Date],0))),(VLOOKUP(VLOOKUP(WEEKDAY(DATE($A$2,INT((COLUMN()-1)/31.001)+$A$1,ROUNDUP(MOD(COLUMN()-1,31.001),0)),2),Sheet3!$D$1:$E$7,2,0),$NW$21:$NX$27,2,0)="Yes"))</f>
        <v>1</v>
      </c>
      <c r="IM3" s="17" t="b">
        <f>AND(NOT(ISNUMBER(MATCH(DATE($A$2,INT((COLUMN()-1)/31.001)+$A$1,ROUNDUP(MOD(COLUMN()-1,31.001),0)),HolidayList[Date],0))),(VLOOKUP(VLOOKUP(WEEKDAY(DATE($A$2,INT((COLUMN()-1)/31.001)+$A$1,ROUNDUP(MOD(COLUMN()-1,31.001),0)),2),Sheet3!$D$1:$E$7,2,0),$NW$21:$NX$27,2,0)="Yes"))</f>
        <v>1</v>
      </c>
      <c r="IN3" s="17" t="b">
        <f>AND(NOT(ISNUMBER(MATCH(DATE($A$2,INT((COLUMN()-1)/31.001)+$A$1,ROUNDUP(MOD(COLUMN()-1,31.001),0)),HolidayList[Date],0))),(VLOOKUP(VLOOKUP(WEEKDAY(DATE($A$2,INT((COLUMN()-1)/31.001)+$A$1,ROUNDUP(MOD(COLUMN()-1,31.001),0)),2),Sheet3!$D$1:$E$7,2,0),$NW$21:$NX$27,2,0)="Yes"))</f>
        <v>1</v>
      </c>
      <c r="IO3" s="17" t="b">
        <f>AND(NOT(ISNUMBER(MATCH(DATE($A$2,INT((COLUMN()-1)/31.001)+$A$1,ROUNDUP(MOD(COLUMN()-1,31.001),0)),HolidayList[Date],0))),(VLOOKUP(VLOOKUP(WEEKDAY(DATE($A$2,INT((COLUMN()-1)/31.001)+$A$1,ROUNDUP(MOD(COLUMN()-1,31.001),0)),2),Sheet3!$D$1:$E$7,2,0),$NW$21:$NX$27,2,0)="Yes"))</f>
        <v>1</v>
      </c>
      <c r="IP3" s="17" t="b">
        <f>AND(NOT(ISNUMBER(MATCH(DATE($A$2,INT((COLUMN()-1)/31.001)+$A$1,ROUNDUP(MOD(COLUMN()-1,31.001),0)),HolidayList[Date],0))),(VLOOKUP(VLOOKUP(WEEKDAY(DATE($A$2,INT((COLUMN()-1)/31.001)+$A$1,ROUNDUP(MOD(COLUMN()-1,31.001),0)),2),Sheet3!$D$1:$E$7,2,0),$NW$21:$NX$27,2,0)="Yes"))</f>
        <v>0</v>
      </c>
      <c r="IQ3" s="17" t="b">
        <f>AND(NOT(ISNUMBER(MATCH(DATE($A$2,INT((COLUMN()-1)/31.001)+$A$1,ROUNDUP(MOD(COLUMN()-1,31.001),0)),HolidayList[Date],0))),(VLOOKUP(VLOOKUP(WEEKDAY(DATE($A$2,INT((COLUMN()-1)/31.001)+$A$1,ROUNDUP(MOD(COLUMN()-1,31.001),0)),2),Sheet3!$D$1:$E$7,2,0),$NW$21:$NX$27,2,0)="Yes"))</f>
        <v>0</v>
      </c>
      <c r="IR3" s="17" t="b">
        <f>AND(NOT(ISNUMBER(MATCH(DATE($A$2,INT((COLUMN()-1)/31.001)+$A$1,ROUNDUP(MOD(COLUMN()-1,31.001),0)),HolidayList[Date],0))),(VLOOKUP(VLOOKUP(WEEKDAY(DATE($A$2,INT((COLUMN()-1)/31.001)+$A$1,ROUNDUP(MOD(COLUMN()-1,31.001),0)),2),Sheet3!$D$1:$E$7,2,0),$NW$21:$NX$27,2,0)="Yes"))</f>
        <v>0</v>
      </c>
      <c r="IS3" s="17" t="b">
        <f>AND(NOT(ISNUMBER(MATCH(DATE($A$2,INT((COLUMN()-1)/31.001)+$A$1,ROUNDUP(MOD(COLUMN()-1,31.001),0)),HolidayList[Date],0))),(VLOOKUP(VLOOKUP(WEEKDAY(DATE($A$2,INT((COLUMN()-1)/31.001)+$A$1,ROUNDUP(MOD(COLUMN()-1,31.001),0)),2),Sheet3!$D$1:$E$7,2,0),$NW$21:$NX$27,2,0)="Yes"))</f>
        <v>1</v>
      </c>
      <c r="IT3" s="17" t="b">
        <f>AND(NOT(ISNUMBER(MATCH(DATE($A$2,INT((COLUMN()-1)/31.001)+$A$1,ROUNDUP(MOD(COLUMN()-1,31.001),0)),HolidayList[Date],0))),(VLOOKUP(VLOOKUP(WEEKDAY(DATE($A$2,INT((COLUMN()-1)/31.001)+$A$1,ROUNDUP(MOD(COLUMN()-1,31.001),0)),2),Sheet3!$D$1:$E$7,2,0),$NW$21:$NX$27,2,0)="Yes"))</f>
        <v>1</v>
      </c>
      <c r="IU3" s="17" t="b">
        <f>AND(NOT(ISNUMBER(MATCH(DATE($A$2,INT((COLUMN()-1)/31.001)+$A$1,ROUNDUP(MOD(COLUMN()-1,31.001),0)),HolidayList[Date],0))),(VLOOKUP(VLOOKUP(WEEKDAY(DATE($A$2,INT((COLUMN()-1)/31.001)+$A$1,ROUNDUP(MOD(COLUMN()-1,31.001),0)),2),Sheet3!$D$1:$E$7,2,0),$NW$21:$NX$27,2,0)="Yes"))</f>
        <v>1</v>
      </c>
      <c r="IV3" s="17" t="b">
        <f>AND(NOT(ISNUMBER(MATCH(DATE($A$2,INT((COLUMN()-1)/31.001)+$A$1,ROUNDUP(MOD(COLUMN()-1,31.001),0)),HolidayList[Date],0))),(VLOOKUP(VLOOKUP(WEEKDAY(DATE($A$2,INT((COLUMN()-1)/31.001)+$A$1,ROUNDUP(MOD(COLUMN()-1,31.001),0)),2),Sheet3!$D$1:$E$7,2,0),$NW$21:$NX$27,2,0)="Yes"))</f>
        <v>1</v>
      </c>
      <c r="IW3" s="17" t="b">
        <f>AND(NOT(ISNUMBER(MATCH(DATE($A$2,INT((COLUMN()-1)/31.001)+$A$1,ROUNDUP(MOD(COLUMN()-1,31.001),0)),HolidayList[Date],0))),(VLOOKUP(VLOOKUP(WEEKDAY(DATE($A$2,INT((COLUMN()-1)/31.001)+$A$1,ROUNDUP(MOD(COLUMN()-1,31.001),0)),2),Sheet3!$D$1:$E$7,2,0),$NW$21:$NX$27,2,0)="Yes"))</f>
        <v>0</v>
      </c>
      <c r="IX3" s="17" t="b">
        <f>AND(NOT(ISNUMBER(MATCH(DATE($A$2,INT((COLUMN()-1)/31.001)+$A$1,ROUNDUP(MOD(COLUMN()-1,31.001),0)),HolidayList[Date],0))),(VLOOKUP(VLOOKUP(WEEKDAY(DATE($A$2,INT((COLUMN()-1)/31.001)+$A$1,ROUNDUP(MOD(COLUMN()-1,31.001),0)),2),Sheet3!$D$1:$E$7,2,0),$NW$21:$NX$27,2,0)="Yes"))</f>
        <v>0</v>
      </c>
      <c r="IY3" s="17" t="b">
        <f>AND(NOT(ISNUMBER(MATCH(DATE($A$2,INT((COLUMN()-1)/31.001)+$A$1,ROUNDUP(MOD(COLUMN()-1,31.001),0)),HolidayList[Date],0))),(VLOOKUP(VLOOKUP(WEEKDAY(DATE($A$2,INT((COLUMN()-1)/31.001)+$A$1,ROUNDUP(MOD(COLUMN()-1,31.001),0)),2),Sheet3!$D$1:$E$7,2,0),$NW$21:$NX$27,2,0)="Yes"))</f>
        <v>1</v>
      </c>
      <c r="IZ3" s="17" t="b">
        <f>AND(NOT(ISNUMBER(MATCH(DATE($A$2,INT((COLUMN()-1)/31.001)+$A$1,ROUNDUP(MOD(COLUMN()-1,31.001),0)),HolidayList[Date],0))),(VLOOKUP(VLOOKUP(WEEKDAY(DATE($A$2,INT((COLUMN()-1)/31.001)+$A$1,ROUNDUP(MOD(COLUMN()-1,31.001),0)),2),Sheet3!$D$1:$E$7,2,0),$NW$21:$NX$27,2,0)="Yes"))</f>
        <v>1</v>
      </c>
      <c r="JA3" s="17" t="b">
        <f>AND(NOT(ISNUMBER(MATCH(DATE($A$2,INT((COLUMN()-1)/31.001)+$A$1,ROUNDUP(MOD(COLUMN()-1,31.001),0)),HolidayList[Date],0))),(VLOOKUP(VLOOKUP(WEEKDAY(DATE($A$2,INT((COLUMN()-1)/31.001)+$A$1,ROUNDUP(MOD(COLUMN()-1,31.001),0)),2),Sheet3!$D$1:$E$7,2,0),$NW$21:$NX$27,2,0)="Yes"))</f>
        <v>1</v>
      </c>
      <c r="JB3" s="17" t="b">
        <f>AND(NOT(ISNUMBER(MATCH(DATE($A$2,INT((COLUMN()-1)/31.001)+$A$1,ROUNDUP(MOD(COLUMN()-1,31.001),0)),HolidayList[Date],0))),(VLOOKUP(VLOOKUP(WEEKDAY(DATE($A$2,INT((COLUMN()-1)/31.001)+$A$1,ROUNDUP(MOD(COLUMN()-1,31.001),0)),2),Sheet3!$D$1:$E$7,2,0),$NW$21:$NX$27,2,0)="Yes"))</f>
        <v>1</v>
      </c>
      <c r="JC3" s="17" t="b">
        <f>AND(NOT(ISNUMBER(MATCH(DATE($A$2,INT((COLUMN()-1)/31.001)+$A$1,ROUNDUP(MOD(COLUMN()-1,31.001),0)),HolidayList[Date],0))),(VLOOKUP(VLOOKUP(WEEKDAY(DATE($A$2,INT((COLUMN()-1)/31.001)+$A$1,ROUNDUP(MOD(COLUMN()-1,31.001),0)),2),Sheet3!$D$1:$E$7,2,0),$NW$21:$NX$27,2,0)="Yes"))</f>
        <v>1</v>
      </c>
      <c r="JD3" s="17" t="b">
        <f>AND(NOT(ISNUMBER(MATCH(DATE($A$2,INT((COLUMN()-1)/31.001)+$A$1,ROUNDUP(MOD(COLUMN()-1,31.001),0)),HolidayList[Date],0))),(VLOOKUP(VLOOKUP(WEEKDAY(DATE($A$2,INT((COLUMN()-1)/31.001)+$A$1,ROUNDUP(MOD(COLUMN()-1,31.001),0)),2),Sheet3!$D$1:$E$7,2,0),$NW$21:$NX$27,2,0)="Yes"))</f>
        <v>0</v>
      </c>
      <c r="JE3" s="17" t="b">
        <f>AND(NOT(ISNUMBER(MATCH(DATE($A$2,INT((COLUMN()-1)/31.001)+$A$1,ROUNDUP(MOD(COLUMN()-1,31.001),0)),HolidayList[Date],0))),(VLOOKUP(VLOOKUP(WEEKDAY(DATE($A$2,INT((COLUMN()-1)/31.001)+$A$1,ROUNDUP(MOD(COLUMN()-1,31.001),0)),2),Sheet3!$D$1:$E$7,2,0),$NW$21:$NX$27,2,0)="Yes"))</f>
        <v>0</v>
      </c>
      <c r="JF3" s="17" t="b">
        <f>AND(NOT(ISNUMBER(MATCH(DATE($A$2,INT((COLUMN()-1)/31.001)+$A$1,ROUNDUP(MOD(COLUMN()-1,31.001),0)),HolidayList[Date],0))),(VLOOKUP(VLOOKUP(WEEKDAY(DATE($A$2,INT((COLUMN()-1)/31.001)+$A$1,ROUNDUP(MOD(COLUMN()-1,31.001),0)),2),Sheet3!$D$1:$E$7,2,0),$NW$21:$NX$27,2,0)="Yes"))</f>
        <v>1</v>
      </c>
      <c r="JG3" s="17" t="b">
        <f>AND(NOT(ISNUMBER(MATCH(DATE($A$2,INT((COLUMN()-1)/31.001)+$A$1,ROUNDUP(MOD(COLUMN()-1,31.001),0)),HolidayList[Date],0))),(VLOOKUP(VLOOKUP(WEEKDAY(DATE($A$2,INT((COLUMN()-1)/31.001)+$A$1,ROUNDUP(MOD(COLUMN()-1,31.001),0)),2),Sheet3!$D$1:$E$7,2,0),$NW$21:$NX$27,2,0)="Yes"))</f>
        <v>1</v>
      </c>
      <c r="JH3" s="17" t="b">
        <f>AND(NOT(ISNUMBER(MATCH(DATE($A$2,INT((COLUMN()-1)/31.001)+$A$1,ROUNDUP(MOD(COLUMN()-1,31.001),0)),HolidayList[Date],0))),(VLOOKUP(VLOOKUP(WEEKDAY(DATE($A$2,INT((COLUMN()-1)/31.001)+$A$1,ROUNDUP(MOD(COLUMN()-1,31.001),0)),2),Sheet3!$D$1:$E$7,2,0),$NW$21:$NX$27,2,0)="Yes"))</f>
        <v>1</v>
      </c>
      <c r="JI3" s="17" t="b">
        <f>AND(NOT(ISNUMBER(MATCH(DATE($A$2,INT((COLUMN()-1)/31.001)+$A$1,ROUNDUP(MOD(COLUMN()-1,31.001),0)),HolidayList[Date],0))),(VLOOKUP(VLOOKUP(WEEKDAY(DATE($A$2,INT((COLUMN()-1)/31.001)+$A$1,ROUNDUP(MOD(COLUMN()-1,31.001),0)),2),Sheet3!$D$1:$E$7,2,0),$NW$21:$NX$27,2,0)="Yes"))</f>
        <v>1</v>
      </c>
      <c r="JJ3" s="17" t="b">
        <f>AND(NOT(ISNUMBER(MATCH(DATE($A$2,INT((COLUMN()-1)/31.001)+$A$1,ROUNDUP(MOD(COLUMN()-1,31.001),0)),HolidayList[Date],0))),(VLOOKUP(VLOOKUP(WEEKDAY(DATE($A$2,INT((COLUMN()-1)/31.001)+$A$1,ROUNDUP(MOD(COLUMN()-1,31.001),0)),2),Sheet3!$D$1:$E$7,2,0),$NW$21:$NX$27,2,0)="Yes"))</f>
        <v>1</v>
      </c>
      <c r="JK3" s="17" t="b">
        <f>AND(NOT(ISNUMBER(MATCH(DATE($A$2,INT((COLUMN()-1)/31.001)+$A$1,ROUNDUP(MOD(COLUMN()-1,31.001),0)),HolidayList[Date],0))),(VLOOKUP(VLOOKUP(WEEKDAY(DATE($A$2,INT((COLUMN()-1)/31.001)+$A$1,ROUNDUP(MOD(COLUMN()-1,31.001),0)),2),Sheet3!$D$1:$E$7,2,0),$NW$21:$NX$27,2,0)="Yes"))</f>
        <v>0</v>
      </c>
      <c r="JL3" s="17" t="b">
        <f>AND(NOT(ISNUMBER(MATCH(DATE($A$2,INT((COLUMN()-1)/31.001)+$A$1,ROUNDUP(MOD(COLUMN()-1,31.001),0)),HolidayList[Date],0))),(VLOOKUP(VLOOKUP(WEEKDAY(DATE($A$2,INT((COLUMN()-1)/31.001)+$A$1,ROUNDUP(MOD(COLUMN()-1,31.001),0)),2),Sheet3!$D$1:$E$7,2,0),$NW$21:$NX$27,2,0)="Yes"))</f>
        <v>0</v>
      </c>
      <c r="JM3" s="17" t="b">
        <f>AND(NOT(ISNUMBER(MATCH(DATE($A$2,INT((COLUMN()-1)/31.001)+$A$1,ROUNDUP(MOD(COLUMN()-1,31.001),0)),HolidayList[Date],0))),(VLOOKUP(VLOOKUP(WEEKDAY(DATE($A$2,INT((COLUMN()-1)/31.001)+$A$1,ROUNDUP(MOD(COLUMN()-1,31.001),0)),2),Sheet3!$D$1:$E$7,2,0),$NW$21:$NX$27,2,0)="Yes"))</f>
        <v>1</v>
      </c>
      <c r="JN3" s="17" t="b">
        <f>AND(NOT(ISNUMBER(MATCH(DATE($A$2,INT((COLUMN()-1)/31.001)+$A$1,ROUNDUP(MOD(COLUMN()-1,31.001),0)),HolidayList[Date],0))),(VLOOKUP(VLOOKUP(WEEKDAY(DATE($A$2,INT((COLUMN()-1)/31.001)+$A$1,ROUNDUP(MOD(COLUMN()-1,31.001),0)),2),Sheet3!$D$1:$E$7,2,0),$NW$21:$NX$27,2,0)="Yes"))</f>
        <v>1</v>
      </c>
      <c r="JO3" s="17" t="b">
        <f>AND(NOT(ISNUMBER(MATCH(DATE($A$2,INT((COLUMN()-1)/31.001)+$A$1,ROUNDUP(MOD(COLUMN()-1,31.001),0)),HolidayList[Date],0))),(VLOOKUP(VLOOKUP(WEEKDAY(DATE($A$2,INT((COLUMN()-1)/31.001)+$A$1,ROUNDUP(MOD(COLUMN()-1,31.001),0)),2),Sheet3!$D$1:$E$7,2,0),$NW$21:$NX$27,2,0)="Yes"))</f>
        <v>1</v>
      </c>
      <c r="JP3" s="17" t="b">
        <f>AND(NOT(ISNUMBER(MATCH(DATE($A$2,INT((COLUMN()-1)/31.001)+$A$1,ROUNDUP(MOD(COLUMN()-1,31.001),0)),HolidayList[Date],0))),(VLOOKUP(VLOOKUP(WEEKDAY(DATE($A$2,INT((COLUMN()-1)/31.001)+$A$1,ROUNDUP(MOD(COLUMN()-1,31.001),0)),2),Sheet3!$D$1:$E$7,2,0),$NW$21:$NX$27,2,0)="Yes"))</f>
        <v>1</v>
      </c>
      <c r="JQ3" s="17" t="b">
        <f>AND(NOT(ISNUMBER(MATCH(DATE($A$2,INT((COLUMN()-1)/31.001)+$A$1,ROUNDUP(MOD(COLUMN()-1,31.001),0)),HolidayList[Date],0))),(VLOOKUP(VLOOKUP(WEEKDAY(DATE($A$2,INT((COLUMN()-1)/31.001)+$A$1,ROUNDUP(MOD(COLUMN()-1,31.001),0)),2),Sheet3!$D$1:$E$7,2,0),$NW$21:$NX$27,2,0)="Yes"))</f>
        <v>1</v>
      </c>
      <c r="JR3" s="17" t="b">
        <f>AND(NOT(ISNUMBER(MATCH(DATE($A$2,INT((COLUMN()-1)/31.001)+$A$1,ROUNDUP(MOD(COLUMN()-1,31.001),0)),HolidayList[Date],0))),(VLOOKUP(VLOOKUP(WEEKDAY(DATE($A$2,INT((COLUMN()-1)/31.001)+$A$1,ROUNDUP(MOD(COLUMN()-1,31.001),0)),2),Sheet3!$D$1:$E$7,2,0),$NW$21:$NX$27,2,0)="Yes"))</f>
        <v>0</v>
      </c>
      <c r="JS3" s="17" t="b">
        <f>AND(NOT(ISNUMBER(MATCH(DATE($A$2,INT((COLUMN()-1)/31.001)+$A$1,ROUNDUP(MOD(COLUMN()-1,31.001),0)),HolidayList[Date],0))),(VLOOKUP(VLOOKUP(WEEKDAY(DATE($A$2,INT((COLUMN()-1)/31.001)+$A$1,ROUNDUP(MOD(COLUMN()-1,31.001),0)),2),Sheet3!$D$1:$E$7,2,0),$NW$21:$NX$27,2,0)="Yes"))</f>
        <v>0</v>
      </c>
      <c r="JT3" s="17" t="b">
        <f>AND(NOT(ISNUMBER(MATCH(DATE($A$2,INT((COLUMN()-1)/31.001)+$A$1,ROUNDUP(MOD(COLUMN()-1,31.001),0)),HolidayList[Date],0))),(VLOOKUP(VLOOKUP(WEEKDAY(DATE($A$2,INT((COLUMN()-1)/31.001)+$A$1,ROUNDUP(MOD(COLUMN()-1,31.001),0)),2),Sheet3!$D$1:$E$7,2,0),$NW$21:$NX$27,2,0)="Yes"))</f>
        <v>1</v>
      </c>
      <c r="JU3" s="17" t="b">
        <f>AND(NOT(ISNUMBER(MATCH(DATE($A$2,INT((COLUMN()-1)/31.001)+$A$1,ROUNDUP(MOD(COLUMN()-1,31.001),0)),HolidayList[Date],0))),(VLOOKUP(VLOOKUP(WEEKDAY(DATE($A$2,INT((COLUMN()-1)/31.001)+$A$1,ROUNDUP(MOD(COLUMN()-1,31.001),0)),2),Sheet3!$D$1:$E$7,2,0),$NW$21:$NX$27,2,0)="Yes"))</f>
        <v>1</v>
      </c>
      <c r="JV3" s="17" t="b">
        <f>AND(NOT(ISNUMBER(MATCH(DATE($A$2,INT((COLUMN()-1)/31.001)+$A$1,ROUNDUP(MOD(COLUMN()-1,31.001),0)),HolidayList[Date],0))),(VLOOKUP(VLOOKUP(WEEKDAY(DATE($A$2,INT((COLUMN()-1)/31.001)+$A$1,ROUNDUP(MOD(COLUMN()-1,31.001),0)),2),Sheet3!$D$1:$E$7,2,0),$NW$21:$NX$27,2,0)="Yes"))</f>
        <v>1</v>
      </c>
      <c r="JW3" s="17" t="b">
        <f>AND(NOT(ISNUMBER(MATCH(DATE($A$2,INT((COLUMN()-1)/31.001)+$A$1,ROUNDUP(MOD(COLUMN()-1,31.001),0)),HolidayList[Date],0))),(VLOOKUP(VLOOKUP(WEEKDAY(DATE($A$2,INT((COLUMN()-1)/31.001)+$A$1,ROUNDUP(MOD(COLUMN()-1,31.001),0)),2),Sheet3!$D$1:$E$7,2,0),$NW$21:$NX$27,2,0)="Yes"))</f>
        <v>1</v>
      </c>
      <c r="JX3" s="17" t="b">
        <f>AND(NOT(ISNUMBER(MATCH(DATE($A$2,INT((COLUMN()-1)/31.001)+$A$1,ROUNDUP(MOD(COLUMN()-1,31.001),0)),HolidayList[Date],0))),(VLOOKUP(VLOOKUP(WEEKDAY(DATE($A$2,INT((COLUMN()-1)/31.001)+$A$1,ROUNDUP(MOD(COLUMN()-1,31.001),0)),2),Sheet3!$D$1:$E$7,2,0),$NW$21:$NX$27,2,0)="Yes"))</f>
        <v>1</v>
      </c>
      <c r="JY3" s="17" t="b">
        <f>AND(NOT(ISNUMBER(MATCH(DATE($A$2,INT((COLUMN()-1)/31.001)+$A$1,ROUNDUP(MOD(COLUMN()-1,31.001),0)),HolidayList[Date],0))),(VLOOKUP(VLOOKUP(WEEKDAY(DATE($A$2,INT((COLUMN()-1)/31.001)+$A$1,ROUNDUP(MOD(COLUMN()-1,31.001),0)),2),Sheet3!$D$1:$E$7,2,0),$NW$21:$NX$27,2,0)="Yes"))</f>
        <v>1</v>
      </c>
      <c r="JZ3" s="17" t="b">
        <f>AND(NOT(ISNUMBER(MATCH(DATE($A$2,INT((COLUMN()-1)/31.001)+$A$1,ROUNDUP(MOD(COLUMN()-1,31.001),0)),HolidayList[Date],0))),(VLOOKUP(VLOOKUP(WEEKDAY(DATE($A$2,INT((COLUMN()-1)/31.001)+$A$1,ROUNDUP(MOD(COLUMN()-1,31.001),0)),2),Sheet3!$D$1:$E$7,2,0),$NW$21:$NX$27,2,0)="Yes"))</f>
        <v>0</v>
      </c>
      <c r="KA3" s="17" t="b">
        <f>AND(NOT(ISNUMBER(MATCH(DATE($A$2,INT((COLUMN()-1)/31.001)+$A$1,ROUNDUP(MOD(COLUMN()-1,31.001),0)),HolidayList[Date],0))),(VLOOKUP(VLOOKUP(WEEKDAY(DATE($A$2,INT((COLUMN()-1)/31.001)+$A$1,ROUNDUP(MOD(COLUMN()-1,31.001),0)),2),Sheet3!$D$1:$E$7,2,0),$NW$21:$NX$27,2,0)="Yes"))</f>
        <v>0</v>
      </c>
      <c r="KB3" s="17" t="b">
        <f>AND(NOT(ISNUMBER(MATCH(DATE($A$2,INT((COLUMN()-1)/31.001)+$A$1,ROUNDUP(MOD(COLUMN()-1,31.001),0)),HolidayList[Date],0))),(VLOOKUP(VLOOKUP(WEEKDAY(DATE($A$2,INT((COLUMN()-1)/31.001)+$A$1,ROUNDUP(MOD(COLUMN()-1,31.001),0)),2),Sheet3!$D$1:$E$7,2,0),$NW$21:$NX$27,2,0)="Yes"))</f>
        <v>0</v>
      </c>
      <c r="KC3" s="17" t="b">
        <f>AND(NOT(ISNUMBER(MATCH(DATE($A$2,INT((COLUMN()-1)/31.001)+$A$1,ROUNDUP(MOD(COLUMN()-1,31.001),0)),HolidayList[Date],0))),(VLOOKUP(VLOOKUP(WEEKDAY(DATE($A$2,INT((COLUMN()-1)/31.001)+$A$1,ROUNDUP(MOD(COLUMN()-1,31.001),0)),2),Sheet3!$D$1:$E$7,2,0),$NW$21:$NX$27,2,0)="Yes"))</f>
        <v>1</v>
      </c>
      <c r="KD3" s="17" t="b">
        <f>AND(NOT(ISNUMBER(MATCH(DATE($A$2,INT((COLUMN()-1)/31.001)+$A$1,ROUNDUP(MOD(COLUMN()-1,31.001),0)),HolidayList[Date],0))),(VLOOKUP(VLOOKUP(WEEKDAY(DATE($A$2,INT((COLUMN()-1)/31.001)+$A$1,ROUNDUP(MOD(COLUMN()-1,31.001),0)),2),Sheet3!$D$1:$E$7,2,0),$NW$21:$NX$27,2,0)="Yes"))</f>
        <v>1</v>
      </c>
      <c r="KE3" s="17" t="b">
        <f>AND(NOT(ISNUMBER(MATCH(DATE($A$2,INT((COLUMN()-1)/31.001)+$A$1,ROUNDUP(MOD(COLUMN()-1,31.001),0)),HolidayList[Date],0))),(VLOOKUP(VLOOKUP(WEEKDAY(DATE($A$2,INT((COLUMN()-1)/31.001)+$A$1,ROUNDUP(MOD(COLUMN()-1,31.001),0)),2),Sheet3!$D$1:$E$7,2,0),$NW$21:$NX$27,2,0)="Yes"))</f>
        <v>1</v>
      </c>
      <c r="KF3" s="17" t="b">
        <f>AND(NOT(ISNUMBER(MATCH(DATE($A$2,INT((COLUMN()-1)/31.001)+$A$1,ROUNDUP(MOD(COLUMN()-1,31.001),0)),HolidayList[Date],0))),(VLOOKUP(VLOOKUP(WEEKDAY(DATE($A$2,INT((COLUMN()-1)/31.001)+$A$1,ROUNDUP(MOD(COLUMN()-1,31.001),0)),2),Sheet3!$D$1:$E$7,2,0),$NW$21:$NX$27,2,0)="Yes"))</f>
        <v>1</v>
      </c>
      <c r="KG3" s="17" t="b">
        <f>AND(NOT(ISNUMBER(MATCH(DATE($A$2,INT((COLUMN()-1)/31.001)+$A$1,ROUNDUP(MOD(COLUMN()-1,31.001),0)),HolidayList[Date],0))),(VLOOKUP(VLOOKUP(WEEKDAY(DATE($A$2,INT((COLUMN()-1)/31.001)+$A$1,ROUNDUP(MOD(COLUMN()-1,31.001),0)),2),Sheet3!$D$1:$E$7,2,0),$NW$21:$NX$27,2,0)="Yes"))</f>
        <v>0</v>
      </c>
      <c r="KH3" s="17" t="b">
        <f>AND(NOT(ISNUMBER(MATCH(DATE($A$2,INT((COLUMN()-1)/31.001)+$A$1,ROUNDUP(MOD(COLUMN()-1,31.001),0)),HolidayList[Date],0))),(VLOOKUP(VLOOKUP(WEEKDAY(DATE($A$2,INT((COLUMN()-1)/31.001)+$A$1,ROUNDUP(MOD(COLUMN()-1,31.001),0)),2),Sheet3!$D$1:$E$7,2,0),$NW$21:$NX$27,2,0)="Yes"))</f>
        <v>0</v>
      </c>
      <c r="KI3" s="17" t="b">
        <f>AND(NOT(ISNUMBER(MATCH(DATE($A$2,INT((COLUMN()-1)/31.001)+$A$1,ROUNDUP(MOD(COLUMN()-1,31.001),0)),HolidayList[Date],0))),(VLOOKUP(VLOOKUP(WEEKDAY(DATE($A$2,INT((COLUMN()-1)/31.001)+$A$1,ROUNDUP(MOD(COLUMN()-1,31.001),0)),2),Sheet3!$D$1:$E$7,2,0),$NW$21:$NX$27,2,0)="Yes"))</f>
        <v>1</v>
      </c>
      <c r="KJ3" s="17" t="b">
        <f>AND(NOT(ISNUMBER(MATCH(DATE($A$2,INT((COLUMN()-1)/31.001)+$A$1,ROUNDUP(MOD(COLUMN()-1,31.001),0)),HolidayList[Date],0))),(VLOOKUP(VLOOKUP(WEEKDAY(DATE($A$2,INT((COLUMN()-1)/31.001)+$A$1,ROUNDUP(MOD(COLUMN()-1,31.001),0)),2),Sheet3!$D$1:$E$7,2,0),$NW$21:$NX$27,2,0)="Yes"))</f>
        <v>1</v>
      </c>
      <c r="KK3" s="17" t="b">
        <f>AND(NOT(ISNUMBER(MATCH(DATE($A$2,INT((COLUMN()-1)/31.001)+$A$1,ROUNDUP(MOD(COLUMN()-1,31.001),0)),HolidayList[Date],0))),(VLOOKUP(VLOOKUP(WEEKDAY(DATE($A$2,INT((COLUMN()-1)/31.001)+$A$1,ROUNDUP(MOD(COLUMN()-1,31.001),0)),2),Sheet3!$D$1:$E$7,2,0),$NW$21:$NX$27,2,0)="Yes"))</f>
        <v>1</v>
      </c>
      <c r="KL3" s="17" t="b">
        <f>AND(NOT(ISNUMBER(MATCH(DATE($A$2,INT((COLUMN()-1)/31.001)+$A$1,ROUNDUP(MOD(COLUMN()-1,31.001),0)),HolidayList[Date],0))),(VLOOKUP(VLOOKUP(WEEKDAY(DATE($A$2,INT((COLUMN()-1)/31.001)+$A$1,ROUNDUP(MOD(COLUMN()-1,31.001),0)),2),Sheet3!$D$1:$E$7,2,0),$NW$21:$NX$27,2,0)="Yes"))</f>
        <v>1</v>
      </c>
      <c r="KM3" s="17" t="b">
        <f>AND(NOT(ISNUMBER(MATCH(DATE($A$2,INT((COLUMN()-1)/31.001)+$A$1,ROUNDUP(MOD(COLUMN()-1,31.001),0)),HolidayList[Date],0))),(VLOOKUP(VLOOKUP(WEEKDAY(DATE($A$2,INT((COLUMN()-1)/31.001)+$A$1,ROUNDUP(MOD(COLUMN()-1,31.001),0)),2),Sheet3!$D$1:$E$7,2,0),$NW$21:$NX$27,2,0)="Yes"))</f>
        <v>1</v>
      </c>
      <c r="KN3" s="17" t="b">
        <f>AND(NOT(ISNUMBER(MATCH(DATE($A$2,INT((COLUMN()-1)/31.001)+$A$1,ROUNDUP(MOD(COLUMN()-1,31.001),0)),HolidayList[Date],0))),(VLOOKUP(VLOOKUP(WEEKDAY(DATE($A$2,INT((COLUMN()-1)/31.001)+$A$1,ROUNDUP(MOD(COLUMN()-1,31.001),0)),2),Sheet3!$D$1:$E$7,2,0),$NW$21:$NX$27,2,0)="Yes"))</f>
        <v>0</v>
      </c>
      <c r="KO3" s="17" t="b">
        <f>AND(NOT(ISNUMBER(MATCH(DATE($A$2,INT((COLUMN()-1)/31.001)+$A$1,ROUNDUP(MOD(COLUMN()-1,31.001),0)),HolidayList[Date],0))),(VLOOKUP(VLOOKUP(WEEKDAY(DATE($A$2,INT((COLUMN()-1)/31.001)+$A$1,ROUNDUP(MOD(COLUMN()-1,31.001),0)),2),Sheet3!$D$1:$E$7,2,0),$NW$21:$NX$27,2,0)="Yes"))</f>
        <v>0</v>
      </c>
      <c r="KP3" s="17" t="b">
        <f>AND(NOT(ISNUMBER(MATCH(DATE($A$2,INT((COLUMN()-1)/31.001)+$A$1,ROUNDUP(MOD(COLUMN()-1,31.001),0)),HolidayList[Date],0))),(VLOOKUP(VLOOKUP(WEEKDAY(DATE($A$2,INT((COLUMN()-1)/31.001)+$A$1,ROUNDUP(MOD(COLUMN()-1,31.001),0)),2),Sheet3!$D$1:$E$7,2,0),$NW$21:$NX$27,2,0)="Yes"))</f>
        <v>1</v>
      </c>
      <c r="KQ3" s="17" t="b">
        <f>AND(NOT(ISNUMBER(MATCH(DATE($A$2,INT((COLUMN()-1)/31.001)+$A$1,ROUNDUP(MOD(COLUMN()-1,31.001),0)),HolidayList[Date],0))),(VLOOKUP(VLOOKUP(WEEKDAY(DATE($A$2,INT((COLUMN()-1)/31.001)+$A$1,ROUNDUP(MOD(COLUMN()-1,31.001),0)),2),Sheet3!$D$1:$E$7,2,0),$NW$21:$NX$27,2,0)="Yes"))</f>
        <v>1</v>
      </c>
      <c r="KR3" s="17" t="b">
        <f>AND(NOT(ISNUMBER(MATCH(DATE($A$2,INT((COLUMN()-1)/31.001)+$A$1,ROUNDUP(MOD(COLUMN()-1,31.001),0)),HolidayList[Date],0))),(VLOOKUP(VLOOKUP(WEEKDAY(DATE($A$2,INT((COLUMN()-1)/31.001)+$A$1,ROUNDUP(MOD(COLUMN()-1,31.001),0)),2),Sheet3!$D$1:$E$7,2,0),$NW$21:$NX$27,2,0)="Yes"))</f>
        <v>1</v>
      </c>
      <c r="KS3" s="17" t="b">
        <f>AND(NOT(ISNUMBER(MATCH(DATE($A$2,INT((COLUMN()-1)/31.001)+$A$1,ROUNDUP(MOD(COLUMN()-1,31.001),0)),HolidayList[Date],0))),(VLOOKUP(VLOOKUP(WEEKDAY(DATE($A$2,INT((COLUMN()-1)/31.001)+$A$1,ROUNDUP(MOD(COLUMN()-1,31.001),0)),2),Sheet3!$D$1:$E$7,2,0),$NW$21:$NX$27,2,0)="Yes"))</f>
        <v>1</v>
      </c>
      <c r="KT3" s="17" t="b">
        <f>AND(NOT(ISNUMBER(MATCH(DATE($A$2,INT((COLUMN()-1)/31.001)+$A$1,ROUNDUP(MOD(COLUMN()-1,31.001),0)),HolidayList[Date],0))),(VLOOKUP(VLOOKUP(WEEKDAY(DATE($A$2,INT((COLUMN()-1)/31.001)+$A$1,ROUNDUP(MOD(COLUMN()-1,31.001),0)),2),Sheet3!$D$1:$E$7,2,0),$NW$21:$NX$27,2,0)="Yes"))</f>
        <v>1</v>
      </c>
      <c r="KU3" s="17" t="b">
        <f>AND(NOT(ISNUMBER(MATCH(DATE($A$2,INT((COLUMN()-1)/31.001)+$A$1,ROUNDUP(MOD(COLUMN()-1,31.001),0)),HolidayList[Date],0))),(VLOOKUP(VLOOKUP(WEEKDAY(DATE($A$2,INT((COLUMN()-1)/31.001)+$A$1,ROUNDUP(MOD(COLUMN()-1,31.001),0)),2),Sheet3!$D$1:$E$7,2,0),$NW$21:$NX$27,2,0)="Yes"))</f>
        <v>0</v>
      </c>
      <c r="KV3" s="17" t="b">
        <f>AND(NOT(ISNUMBER(MATCH(DATE($A$2,INT((COLUMN()-1)/31.001)+$A$1,ROUNDUP(MOD(COLUMN()-1,31.001),0)),HolidayList[Date],0))),(VLOOKUP(VLOOKUP(WEEKDAY(DATE($A$2,INT((COLUMN()-1)/31.001)+$A$1,ROUNDUP(MOD(COLUMN()-1,31.001),0)),2),Sheet3!$D$1:$E$7,2,0),$NW$21:$NX$27,2,0)="Yes"))</f>
        <v>0</v>
      </c>
      <c r="KW3" s="17" t="b">
        <f>AND(NOT(ISNUMBER(MATCH(DATE($A$2,INT((COLUMN()-1)/31.001)+$A$1,ROUNDUP(MOD(COLUMN()-1,31.001),0)),HolidayList[Date],0))),(VLOOKUP(VLOOKUP(WEEKDAY(DATE($A$2,INT((COLUMN()-1)/31.001)+$A$1,ROUNDUP(MOD(COLUMN()-1,31.001),0)),2),Sheet3!$D$1:$E$7,2,0),$NW$21:$NX$27,2,0)="Yes"))</f>
        <v>1</v>
      </c>
      <c r="KX3" s="17" t="b">
        <f>AND(NOT(ISNUMBER(MATCH(DATE($A$2,INT((COLUMN()-1)/31.001)+$A$1,ROUNDUP(MOD(COLUMN()-1,31.001),0)),HolidayList[Date],0))),(VLOOKUP(VLOOKUP(WEEKDAY(DATE($A$2,INT((COLUMN()-1)/31.001)+$A$1,ROUNDUP(MOD(COLUMN()-1,31.001),0)),2),Sheet3!$D$1:$E$7,2,0),$NW$21:$NX$27,2,0)="Yes"))</f>
        <v>1</v>
      </c>
      <c r="KY3" s="17" t="b">
        <f>AND(NOT(ISNUMBER(MATCH(DATE($A$2,INT((COLUMN()-1)/31.001)+$A$1,ROUNDUP(MOD(COLUMN()-1,31.001),0)),HolidayList[Date],0))),(VLOOKUP(VLOOKUP(WEEKDAY(DATE($A$2,INT((COLUMN()-1)/31.001)+$A$1,ROUNDUP(MOD(COLUMN()-1,31.001),0)),2),Sheet3!$D$1:$E$7,2,0),$NW$21:$NX$27,2,0)="Yes"))</f>
        <v>1</v>
      </c>
      <c r="KZ3" s="17" t="b">
        <f>AND(NOT(ISNUMBER(MATCH(DATE($A$2,INT((COLUMN()-1)/31.001)+$A$1,ROUNDUP(MOD(COLUMN()-1,31.001),0)),HolidayList[Date],0))),(VLOOKUP(VLOOKUP(WEEKDAY(DATE($A$2,INT((COLUMN()-1)/31.001)+$A$1,ROUNDUP(MOD(COLUMN()-1,31.001),0)),2),Sheet3!$D$1:$E$7,2,0),$NW$21:$NX$27,2,0)="Yes"))</f>
        <v>1</v>
      </c>
      <c r="LA3" s="17" t="b">
        <f>AND(NOT(ISNUMBER(MATCH(DATE($A$2,INT((COLUMN()-1)/31.001)+$A$1,ROUNDUP(MOD(COLUMN()-1,31.001),0)),HolidayList[Date],0))),(VLOOKUP(VLOOKUP(WEEKDAY(DATE($A$2,INT((COLUMN()-1)/31.001)+$A$1,ROUNDUP(MOD(COLUMN()-1,31.001),0)),2),Sheet3!$D$1:$E$7,2,0),$NW$21:$NX$27,2,0)="Yes"))</f>
        <v>1</v>
      </c>
      <c r="LB3" s="17" t="b">
        <f>AND(NOT(ISNUMBER(MATCH(DATE($A$2,INT((COLUMN()-1)/31.001)+$A$1,ROUNDUP(MOD(COLUMN()-1,31.001),0)),HolidayList[Date],0))),(VLOOKUP(VLOOKUP(WEEKDAY(DATE($A$2,INT((COLUMN()-1)/31.001)+$A$1,ROUNDUP(MOD(COLUMN()-1,31.001),0)),2),Sheet3!$D$1:$E$7,2,0),$NW$21:$NX$27,2,0)="Yes"))</f>
        <v>0</v>
      </c>
      <c r="LC3" s="17" t="b">
        <f>AND(NOT(ISNUMBER(MATCH(DATE($A$2,INT((COLUMN()-1)/31.001)+$A$1,ROUNDUP(MOD(COLUMN()-1,31.001),0)),HolidayList[Date],0))),(VLOOKUP(VLOOKUP(WEEKDAY(DATE($A$2,INT((COLUMN()-1)/31.001)+$A$1,ROUNDUP(MOD(COLUMN()-1,31.001),0)),2),Sheet3!$D$1:$E$7,2,0),$NW$21:$NX$27,2,0)="Yes"))</f>
        <v>0</v>
      </c>
      <c r="LD3" s="17" t="b">
        <f>AND(NOT(ISNUMBER(MATCH(DATE($A$2,INT((COLUMN()-1)/31.001)+$A$1,ROUNDUP(MOD(COLUMN()-1,31.001),0)),HolidayList[Date],0))),(VLOOKUP(VLOOKUP(WEEKDAY(DATE($A$2,INT((COLUMN()-1)/31.001)+$A$1,ROUNDUP(MOD(COLUMN()-1,31.001),0)),2),Sheet3!$D$1:$E$7,2,0),$NW$21:$NX$27,2,0)="Yes"))</f>
        <v>1</v>
      </c>
      <c r="LE3" s="17" t="b">
        <f>AND(NOT(ISNUMBER(MATCH(DATE($A$2,INT((COLUMN()-1)/31.001)+$A$1,ROUNDUP(MOD(COLUMN()-1,31.001),0)),HolidayList[Date],0))),(VLOOKUP(VLOOKUP(WEEKDAY(DATE($A$2,INT((COLUMN()-1)/31.001)+$A$1,ROUNDUP(MOD(COLUMN()-1,31.001),0)),2),Sheet3!$D$1:$E$7,2,0),$NW$21:$NX$27,2,0)="Yes"))</f>
        <v>1</v>
      </c>
      <c r="LF3" s="17" t="b">
        <f>AND(NOT(ISNUMBER(MATCH(DATE($A$2,INT((COLUMN()-1)/31.001)+$A$1,ROUNDUP(MOD(COLUMN()-1,31.001),0)),HolidayList[Date],0))),(VLOOKUP(VLOOKUP(WEEKDAY(DATE($A$2,INT((COLUMN()-1)/31.001)+$A$1,ROUNDUP(MOD(COLUMN()-1,31.001),0)),2),Sheet3!$D$1:$E$7,2,0),$NW$21:$NX$27,2,0)="Yes"))</f>
        <v>1</v>
      </c>
      <c r="LG3" s="17" t="b">
        <f>AND(NOT(ISNUMBER(MATCH(DATE($A$2,INT((COLUMN()-1)/31.001)+$A$1,ROUNDUP(MOD(COLUMN()-1,31.001),0)),HolidayList[Date],0))),(VLOOKUP(VLOOKUP(WEEKDAY(DATE($A$2,INT((COLUMN()-1)/31.001)+$A$1,ROUNDUP(MOD(COLUMN()-1,31.001),0)),2),Sheet3!$D$1:$E$7,2,0),$NW$21:$NX$27,2,0)="Yes"))</f>
        <v>1</v>
      </c>
      <c r="LH3" s="17" t="b">
        <f>AND(NOT(ISNUMBER(MATCH(DATE($A$2,INT((COLUMN()-1)/31.001)+$A$1,ROUNDUP(MOD(COLUMN()-1,31.001),0)),HolidayList[Date],0))),(VLOOKUP(VLOOKUP(WEEKDAY(DATE($A$2,INT((COLUMN()-1)/31.001)+$A$1,ROUNDUP(MOD(COLUMN()-1,31.001),0)),2),Sheet3!$D$1:$E$7,2,0),$NW$21:$NX$27,2,0)="Yes"))</f>
        <v>1</v>
      </c>
      <c r="LI3" s="17" t="b">
        <f>AND(NOT(ISNUMBER(MATCH(DATE($A$2,INT((COLUMN()-1)/31.001)+$A$1,ROUNDUP(MOD(COLUMN()-1,31.001),0)),HolidayList[Date],0))),(VLOOKUP(VLOOKUP(WEEKDAY(DATE($A$2,INT((COLUMN()-1)/31.001)+$A$1,ROUNDUP(MOD(COLUMN()-1,31.001),0)),2),Sheet3!$D$1:$E$7,2,0),$NW$21:$NX$27,2,0)="Yes"))</f>
        <v>0</v>
      </c>
      <c r="LJ3" s="17" t="b">
        <f>AND(NOT(ISNUMBER(MATCH(DATE($A$2,INT((COLUMN()-1)/31.001)+$A$1,ROUNDUP(MOD(COLUMN()-1,31.001),0)),HolidayList[Date],0))),(VLOOKUP(VLOOKUP(WEEKDAY(DATE($A$2,INT((COLUMN()-1)/31.001)+$A$1,ROUNDUP(MOD(COLUMN()-1,31.001),0)),2),Sheet3!$D$1:$E$7,2,0),$NW$21:$NX$27,2,0)="Yes"))</f>
        <v>0</v>
      </c>
      <c r="LK3" s="17" t="b">
        <f>AND(NOT(ISNUMBER(MATCH(DATE($A$2,INT((COLUMN()-1)/31.001)+$A$1,ROUNDUP(MOD(COLUMN()-1,31.001),0)),HolidayList[Date],0))),(VLOOKUP(VLOOKUP(WEEKDAY(DATE($A$2,INT((COLUMN()-1)/31.001)+$A$1,ROUNDUP(MOD(COLUMN()-1,31.001),0)),2),Sheet3!$D$1:$E$7,2,0),$NW$21:$NX$27,2,0)="Yes"))</f>
        <v>0</v>
      </c>
      <c r="LL3" s="17" t="b">
        <f>AND(NOT(ISNUMBER(MATCH(DATE($A$2,INT((COLUMN()-1)/31.001)+$A$1,ROUNDUP(MOD(COLUMN()-1,31.001),0)),HolidayList[Date],0))),(VLOOKUP(VLOOKUP(WEEKDAY(DATE($A$2,INT((COLUMN()-1)/31.001)+$A$1,ROUNDUP(MOD(COLUMN()-1,31.001),0)),2),Sheet3!$D$1:$E$7,2,0),$NW$21:$NX$27,2,0)="Yes"))</f>
        <v>1</v>
      </c>
      <c r="LM3" s="17" t="b">
        <f>AND(NOT(ISNUMBER(MATCH(DATE($A$2,INT((COLUMN()-1)/31.001)+$A$1,ROUNDUP(MOD(COLUMN()-1,31.001),0)),HolidayList[Date],0))),(VLOOKUP(VLOOKUP(WEEKDAY(DATE($A$2,INT((COLUMN()-1)/31.001)+$A$1,ROUNDUP(MOD(COLUMN()-1,31.001),0)),2),Sheet3!$D$1:$E$7,2,0),$NW$21:$NX$27,2,0)="Yes"))</f>
        <v>1</v>
      </c>
      <c r="LN3" s="17" t="b">
        <f>AND(NOT(ISNUMBER(MATCH(DATE($A$2,INT((COLUMN()-1)/31.001)+$A$1,ROUNDUP(MOD(COLUMN()-1,31.001),0)),HolidayList[Date],0))),(VLOOKUP(VLOOKUP(WEEKDAY(DATE($A$2,INT((COLUMN()-1)/31.001)+$A$1,ROUNDUP(MOD(COLUMN()-1,31.001),0)),2),Sheet3!$D$1:$E$7,2,0),$NW$21:$NX$27,2,0)="Yes"))</f>
        <v>1</v>
      </c>
      <c r="LO3" s="17" t="b">
        <f>AND(NOT(ISNUMBER(MATCH(DATE($A$2,INT((COLUMN()-1)/31.001)+$A$1,ROUNDUP(MOD(COLUMN()-1,31.001),0)),HolidayList[Date],0))),(VLOOKUP(VLOOKUP(WEEKDAY(DATE($A$2,INT((COLUMN()-1)/31.001)+$A$1,ROUNDUP(MOD(COLUMN()-1,31.001),0)),2),Sheet3!$D$1:$E$7,2,0),$NW$21:$NX$27,2,0)="Yes"))</f>
        <v>1</v>
      </c>
      <c r="LP3" s="17" t="b">
        <f>AND(NOT(ISNUMBER(MATCH(DATE($A$2,INT((COLUMN()-1)/31.001)+$A$1,ROUNDUP(MOD(COLUMN()-1,31.001),0)),HolidayList[Date],0))),(VLOOKUP(VLOOKUP(WEEKDAY(DATE($A$2,INT((COLUMN()-1)/31.001)+$A$1,ROUNDUP(MOD(COLUMN()-1,31.001),0)),2),Sheet3!$D$1:$E$7,2,0),$NW$21:$NX$27,2,0)="Yes"))</f>
        <v>0</v>
      </c>
      <c r="LQ3" s="17" t="b">
        <f>AND(NOT(ISNUMBER(MATCH(DATE($A$2,INT((COLUMN()-1)/31.001)+$A$1,ROUNDUP(MOD(COLUMN()-1,31.001),0)),HolidayList[Date],0))),(VLOOKUP(VLOOKUP(WEEKDAY(DATE($A$2,INT((COLUMN()-1)/31.001)+$A$1,ROUNDUP(MOD(COLUMN()-1,31.001),0)),2),Sheet3!$D$1:$E$7,2,0),$NW$21:$NX$27,2,0)="Yes"))</f>
        <v>0</v>
      </c>
      <c r="LR3" s="17" t="b">
        <f>AND(NOT(ISNUMBER(MATCH(DATE($A$2,INT((COLUMN()-1)/31.001)+$A$1,ROUNDUP(MOD(COLUMN()-1,31.001),0)),HolidayList[Date],0))),(VLOOKUP(VLOOKUP(WEEKDAY(DATE($A$2,INT((COLUMN()-1)/31.001)+$A$1,ROUNDUP(MOD(COLUMN()-1,31.001),0)),2),Sheet3!$D$1:$E$7,2,0),$NW$21:$NX$27,2,0)="Yes"))</f>
        <v>1</v>
      </c>
      <c r="LS3" s="17" t="b">
        <f>AND(NOT(ISNUMBER(MATCH(DATE($A$2,INT((COLUMN()-1)/31.001)+$A$1,ROUNDUP(MOD(COLUMN()-1,31.001),0)),HolidayList[Date],0))),(VLOOKUP(VLOOKUP(WEEKDAY(DATE($A$2,INT((COLUMN()-1)/31.001)+$A$1,ROUNDUP(MOD(COLUMN()-1,31.001),0)),2),Sheet3!$D$1:$E$7,2,0),$NW$21:$NX$27,2,0)="Yes"))</f>
        <v>1</v>
      </c>
      <c r="LT3" s="17" t="b">
        <f>AND(NOT(ISNUMBER(MATCH(DATE($A$2,INT((COLUMN()-1)/31.001)+$A$1,ROUNDUP(MOD(COLUMN()-1,31.001),0)),HolidayList[Date],0))),(VLOOKUP(VLOOKUP(WEEKDAY(DATE($A$2,INT((COLUMN()-1)/31.001)+$A$1,ROUNDUP(MOD(COLUMN()-1,31.001),0)),2),Sheet3!$D$1:$E$7,2,0),$NW$21:$NX$27,2,0)="Yes"))</f>
        <v>1</v>
      </c>
      <c r="LU3" s="17" t="b">
        <f>AND(NOT(ISNUMBER(MATCH(DATE($A$2,INT((COLUMN()-1)/31.001)+$A$1,ROUNDUP(MOD(COLUMN()-1,31.001),0)),HolidayList[Date],0))),(VLOOKUP(VLOOKUP(WEEKDAY(DATE($A$2,INT((COLUMN()-1)/31.001)+$A$1,ROUNDUP(MOD(COLUMN()-1,31.001),0)),2),Sheet3!$D$1:$E$7,2,0),$NW$21:$NX$27,2,0)="Yes"))</f>
        <v>0</v>
      </c>
      <c r="LV3" s="17" t="b">
        <f>AND(NOT(ISNUMBER(MATCH(DATE($A$2,INT((COLUMN()-1)/31.001)+$A$1,ROUNDUP(MOD(COLUMN()-1,31.001),0)),HolidayList[Date],0))),(VLOOKUP(VLOOKUP(WEEKDAY(DATE($A$2,INT((COLUMN()-1)/31.001)+$A$1,ROUNDUP(MOD(COLUMN()-1,31.001),0)),2),Sheet3!$D$1:$E$7,2,0),$NW$21:$NX$27,2,0)="Yes"))</f>
        <v>1</v>
      </c>
      <c r="LW3" s="17" t="b">
        <f>AND(NOT(ISNUMBER(MATCH(DATE($A$2,INT((COLUMN()-1)/31.001)+$A$1,ROUNDUP(MOD(COLUMN()-1,31.001),0)),HolidayList[Date],0))),(VLOOKUP(VLOOKUP(WEEKDAY(DATE($A$2,INT((COLUMN()-1)/31.001)+$A$1,ROUNDUP(MOD(COLUMN()-1,31.001),0)),2),Sheet3!$D$1:$E$7,2,0),$NW$21:$NX$27,2,0)="Yes"))</f>
        <v>0</v>
      </c>
      <c r="LX3" s="17" t="b">
        <f>AND(NOT(ISNUMBER(MATCH(DATE($A$2,INT((COLUMN()-1)/31.001)+$A$1,ROUNDUP(MOD(COLUMN()-1,31.001),0)),HolidayList[Date],0))),(VLOOKUP(VLOOKUP(WEEKDAY(DATE($A$2,INT((COLUMN()-1)/31.001)+$A$1,ROUNDUP(MOD(COLUMN()-1,31.001),0)),2),Sheet3!$D$1:$E$7,2,0),$NW$21:$NX$27,2,0)="Yes"))</f>
        <v>0</v>
      </c>
      <c r="LY3" s="17" t="b">
        <f>AND(NOT(ISNUMBER(MATCH(DATE($A$2,INT((COLUMN()-1)/31.001)+$A$1,ROUNDUP(MOD(COLUMN()-1,31.001),0)),HolidayList[Date],0))),(VLOOKUP(VLOOKUP(WEEKDAY(DATE($A$2,INT((COLUMN()-1)/31.001)+$A$1,ROUNDUP(MOD(COLUMN()-1,31.001),0)),2),Sheet3!$D$1:$E$7,2,0),$NW$21:$NX$27,2,0)="Yes"))</f>
        <v>1</v>
      </c>
      <c r="LZ3" s="17" t="b">
        <f>AND(NOT(ISNUMBER(MATCH(DATE($A$2,INT((COLUMN()-1)/31.001)+$A$1,ROUNDUP(MOD(COLUMN()-1,31.001),0)),HolidayList[Date],0))),(VLOOKUP(VLOOKUP(WEEKDAY(DATE($A$2,INT((COLUMN()-1)/31.001)+$A$1,ROUNDUP(MOD(COLUMN()-1,31.001),0)),2),Sheet3!$D$1:$E$7,2,0),$NW$21:$NX$27,2,0)="Yes"))</f>
        <v>1</v>
      </c>
      <c r="MA3" s="17" t="b">
        <f>AND(NOT(ISNUMBER(MATCH(DATE($A$2,INT((COLUMN()-1)/31.001)+$A$1,ROUNDUP(MOD(COLUMN()-1,31.001),0)),HolidayList[Date],0))),(VLOOKUP(VLOOKUP(WEEKDAY(DATE($A$2,INT((COLUMN()-1)/31.001)+$A$1,ROUNDUP(MOD(COLUMN()-1,31.001),0)),2),Sheet3!$D$1:$E$7,2,0),$NW$21:$NX$27,2,0)="Yes"))</f>
        <v>1</v>
      </c>
      <c r="MB3" s="17" t="b">
        <f>AND(NOT(ISNUMBER(MATCH(DATE($A$2,INT((COLUMN()-1)/31.001)+$A$1,ROUNDUP(MOD(COLUMN()-1,31.001),0)),HolidayList[Date],0))),(VLOOKUP(VLOOKUP(WEEKDAY(DATE($A$2,INT((COLUMN()-1)/31.001)+$A$1,ROUNDUP(MOD(COLUMN()-1,31.001),0)),2),Sheet3!$D$1:$E$7,2,0),$NW$21:$NX$27,2,0)="Yes"))</f>
        <v>1</v>
      </c>
      <c r="MC3" s="17" t="b">
        <f>AND(NOT(ISNUMBER(MATCH(DATE($A$2,INT((COLUMN()-1)/31.001)+$A$1,ROUNDUP(MOD(COLUMN()-1,31.001),0)),HolidayList[Date],0))),(VLOOKUP(VLOOKUP(WEEKDAY(DATE($A$2,INT((COLUMN()-1)/31.001)+$A$1,ROUNDUP(MOD(COLUMN()-1,31.001),0)),2),Sheet3!$D$1:$E$7,2,0),$NW$21:$NX$27,2,0)="Yes"))</f>
        <v>1</v>
      </c>
      <c r="MD3" s="17" t="b">
        <f>AND(NOT(ISNUMBER(MATCH(DATE($A$2,INT((COLUMN()-1)/31.001)+$A$1,ROUNDUP(MOD(COLUMN()-1,31.001),0)),HolidayList[Date],0))),(VLOOKUP(VLOOKUP(WEEKDAY(DATE($A$2,INT((COLUMN()-1)/31.001)+$A$1,ROUNDUP(MOD(COLUMN()-1,31.001),0)),2),Sheet3!$D$1:$E$7,2,0),$NW$21:$NX$27,2,0)="Yes"))</f>
        <v>0</v>
      </c>
      <c r="ME3" s="17" t="b">
        <f>AND(NOT(ISNUMBER(MATCH(DATE($A$2,INT((COLUMN()-1)/31.001)+$A$1,ROUNDUP(MOD(COLUMN()-1,31.001),0)),HolidayList[Date],0))),(VLOOKUP(VLOOKUP(WEEKDAY(DATE($A$2,INT((COLUMN()-1)/31.001)+$A$1,ROUNDUP(MOD(COLUMN()-1,31.001),0)),2),Sheet3!$D$1:$E$7,2,0),$NW$21:$NX$27,2,0)="Yes"))</f>
        <v>0</v>
      </c>
      <c r="MF3" s="17" t="b">
        <f>AND(NOT(ISNUMBER(MATCH(DATE($A$2,INT((COLUMN()-1)/31.001)+$A$1,ROUNDUP(MOD(COLUMN()-1,31.001),0)),HolidayList[Date],0))),(VLOOKUP(VLOOKUP(WEEKDAY(DATE($A$2,INT((COLUMN()-1)/31.001)+$A$1,ROUNDUP(MOD(COLUMN()-1,31.001),0)),2),Sheet3!$D$1:$E$7,2,0),$NW$21:$NX$27,2,0)="Yes"))</f>
        <v>0</v>
      </c>
      <c r="MG3" s="17" t="b">
        <f>AND(NOT(ISNUMBER(MATCH(DATE($A$2,INT((COLUMN()-1)/31.001)+$A$1,ROUNDUP(MOD(COLUMN()-1,31.001),0)),HolidayList[Date],0))),(VLOOKUP(VLOOKUP(WEEKDAY(DATE($A$2,INT((COLUMN()-1)/31.001)+$A$1,ROUNDUP(MOD(COLUMN()-1,31.001),0)),2),Sheet3!$D$1:$E$7,2,0),$NW$21:$NX$27,2,0)="Yes"))</f>
        <v>1</v>
      </c>
      <c r="MH3" s="17" t="b">
        <f>AND(NOT(ISNUMBER(MATCH(DATE($A$2,INT((COLUMN()-1)/31.001)+$A$1,ROUNDUP(MOD(COLUMN()-1,31.001),0)),HolidayList[Date],0))),(VLOOKUP(VLOOKUP(WEEKDAY(DATE($A$2,INT((COLUMN()-1)/31.001)+$A$1,ROUNDUP(MOD(COLUMN()-1,31.001),0)),2),Sheet3!$D$1:$E$7,2,0),$NW$21:$NX$27,2,0)="Yes"))</f>
        <v>1</v>
      </c>
      <c r="MI3" s="17" t="b">
        <f>AND(NOT(ISNUMBER(MATCH(DATE($A$2,INT((COLUMN()-1)/31.001)+$A$1,ROUNDUP(MOD(COLUMN()-1,31.001),0)),HolidayList[Date],0))),(VLOOKUP(VLOOKUP(WEEKDAY(DATE($A$2,INT((COLUMN()-1)/31.001)+$A$1,ROUNDUP(MOD(COLUMN()-1,31.001),0)),2),Sheet3!$D$1:$E$7,2,0),$NW$21:$NX$27,2,0)="Yes"))</f>
        <v>1</v>
      </c>
      <c r="MJ3" s="17" t="b">
        <f>AND(NOT(ISNUMBER(MATCH(DATE($A$2,INT((COLUMN()-1)/31.001)+$A$1,ROUNDUP(MOD(COLUMN()-1,31.001),0)),HolidayList[Date],0))),(VLOOKUP(VLOOKUP(WEEKDAY(DATE($A$2,INT((COLUMN()-1)/31.001)+$A$1,ROUNDUP(MOD(COLUMN()-1,31.001),0)),2),Sheet3!$D$1:$E$7,2,0),$NW$21:$NX$27,2,0)="Yes"))</f>
        <v>1</v>
      </c>
      <c r="MK3" s="17" t="b">
        <f>AND(NOT(ISNUMBER(MATCH(DATE($A$2,INT((COLUMN()-1)/31.001)+$A$1,ROUNDUP(MOD(COLUMN()-1,31.001),0)),HolidayList[Date],0))),(VLOOKUP(VLOOKUP(WEEKDAY(DATE($A$2,INT((COLUMN()-1)/31.001)+$A$1,ROUNDUP(MOD(COLUMN()-1,31.001),0)),2),Sheet3!$D$1:$E$7,2,0),$NW$21:$NX$27,2,0)="Yes"))</f>
        <v>1</v>
      </c>
      <c r="ML3" s="17" t="b">
        <f>AND(NOT(ISNUMBER(MATCH(DATE($A$2,INT((COLUMN()-1)/31.001)+$A$1,ROUNDUP(MOD(COLUMN()-1,31.001),0)),HolidayList[Date],0))),(VLOOKUP(VLOOKUP(WEEKDAY(DATE($A$2,INT((COLUMN()-1)/31.001)+$A$1,ROUNDUP(MOD(COLUMN()-1,31.001),0)),2),Sheet3!$D$1:$E$7,2,0),$NW$21:$NX$27,2,0)="Yes"))</f>
        <v>0</v>
      </c>
      <c r="MM3" s="17" t="b">
        <f>AND(NOT(ISNUMBER(MATCH(DATE($A$2,INT((COLUMN()-1)/31.001)+$A$1,ROUNDUP(MOD(COLUMN()-1,31.001),0)),HolidayList[Date],0))),(VLOOKUP(VLOOKUP(WEEKDAY(DATE($A$2,INT((COLUMN()-1)/31.001)+$A$1,ROUNDUP(MOD(COLUMN()-1,31.001),0)),2),Sheet3!$D$1:$E$7,2,0),$NW$21:$NX$27,2,0)="Yes"))</f>
        <v>0</v>
      </c>
      <c r="MN3" s="17" t="b">
        <f>AND(NOT(ISNUMBER(MATCH(DATE($A$2,INT((COLUMN()-1)/31.001)+$A$1,ROUNDUP(MOD(COLUMN()-1,31.001),0)),HolidayList[Date],0))),(VLOOKUP(VLOOKUP(WEEKDAY(DATE($A$2,INT((COLUMN()-1)/31.001)+$A$1,ROUNDUP(MOD(COLUMN()-1,31.001),0)),2),Sheet3!$D$1:$E$7,2,0),$NW$21:$NX$27,2,0)="Yes"))</f>
        <v>1</v>
      </c>
      <c r="MO3" s="17" t="b">
        <f>AND(NOT(ISNUMBER(MATCH(DATE($A$2,INT((COLUMN()-1)/31.001)+$A$1,ROUNDUP(MOD(COLUMN()-1,31.001),0)),HolidayList[Date],0))),(VLOOKUP(VLOOKUP(WEEKDAY(DATE($A$2,INT((COLUMN()-1)/31.001)+$A$1,ROUNDUP(MOD(COLUMN()-1,31.001),0)),2),Sheet3!$D$1:$E$7,2,0),$NW$21:$NX$27,2,0)="Yes"))</f>
        <v>1</v>
      </c>
      <c r="MP3" s="17" t="b">
        <f>AND(NOT(ISNUMBER(MATCH(DATE($A$2,INT((COLUMN()-1)/31.001)+$A$1,ROUNDUP(MOD(COLUMN()-1,31.001),0)),HolidayList[Date],0))),(VLOOKUP(VLOOKUP(WEEKDAY(DATE($A$2,INT((COLUMN()-1)/31.001)+$A$1,ROUNDUP(MOD(COLUMN()-1,31.001),0)),2),Sheet3!$D$1:$E$7,2,0),$NW$21:$NX$27,2,0)="Yes"))</f>
        <v>1</v>
      </c>
      <c r="MQ3" s="17" t="b">
        <f>AND(NOT(ISNUMBER(MATCH(DATE($A$2,INT((COLUMN()-1)/31.001)+$A$1,ROUNDUP(MOD(COLUMN()-1,31.001),0)),HolidayList[Date],0))),(VLOOKUP(VLOOKUP(WEEKDAY(DATE($A$2,INT((COLUMN()-1)/31.001)+$A$1,ROUNDUP(MOD(COLUMN()-1,31.001),0)),2),Sheet3!$D$1:$E$7,2,0),$NW$21:$NX$27,2,0)="Yes"))</f>
        <v>1</v>
      </c>
      <c r="MR3" s="17" t="b">
        <f>AND(NOT(ISNUMBER(MATCH(DATE($A$2,INT((COLUMN()-1)/31.001)+$A$1,ROUNDUP(MOD(COLUMN()-1,31.001),0)),HolidayList[Date],0))),(VLOOKUP(VLOOKUP(WEEKDAY(DATE($A$2,INT((COLUMN()-1)/31.001)+$A$1,ROUNDUP(MOD(COLUMN()-1,31.001),0)),2),Sheet3!$D$1:$E$7,2,0),$NW$21:$NX$27,2,0)="Yes"))</f>
        <v>1</v>
      </c>
      <c r="MS3" s="17" t="b">
        <f>AND(NOT(ISNUMBER(MATCH(DATE($A$2,INT((COLUMN()-1)/31.001)+$A$1,ROUNDUP(MOD(COLUMN()-1,31.001),0)),HolidayList[Date],0))),(VLOOKUP(VLOOKUP(WEEKDAY(DATE($A$2,INT((COLUMN()-1)/31.001)+$A$1,ROUNDUP(MOD(COLUMN()-1,31.001),0)),2),Sheet3!$D$1:$E$7,2,0),$NW$21:$NX$27,2,0)="Yes"))</f>
        <v>0</v>
      </c>
      <c r="MT3" s="17" t="b">
        <f>AND(NOT(ISNUMBER(MATCH(DATE($A$2,INT((COLUMN()-1)/31.001)+$A$1,ROUNDUP(MOD(COLUMN()-1,31.001),0)),HolidayList[Date],0))),(VLOOKUP(VLOOKUP(WEEKDAY(DATE($A$2,INT((COLUMN()-1)/31.001)+$A$1,ROUNDUP(MOD(COLUMN()-1,31.001),0)),2),Sheet3!$D$1:$E$7,2,0),$NW$21:$NX$27,2,0)="Yes"))</f>
        <v>0</v>
      </c>
      <c r="MU3" s="17" t="b">
        <f>AND(NOT(ISNUMBER(MATCH(DATE($A$2,INT((COLUMN()-1)/31.001)+$A$1,ROUNDUP(MOD(COLUMN()-1,31.001),0)),HolidayList[Date],0))),(VLOOKUP(VLOOKUP(WEEKDAY(DATE($A$2,INT((COLUMN()-1)/31.001)+$A$1,ROUNDUP(MOD(COLUMN()-1,31.001),0)),2),Sheet3!$D$1:$E$7,2,0),$NW$21:$NX$27,2,0)="Yes"))</f>
        <v>1</v>
      </c>
      <c r="MV3" s="17" t="b">
        <f>AND(NOT(ISNUMBER(MATCH(DATE($A$2,INT((COLUMN()-1)/31.001)+$A$1,ROUNDUP(MOD(COLUMN()-1,31.001),0)),HolidayList[Date],0))),(VLOOKUP(VLOOKUP(WEEKDAY(DATE($A$2,INT((COLUMN()-1)/31.001)+$A$1,ROUNDUP(MOD(COLUMN()-1,31.001),0)),2),Sheet3!$D$1:$E$7,2,0),$NW$21:$NX$27,2,0)="Yes"))</f>
        <v>1</v>
      </c>
      <c r="MW3" s="17" t="b">
        <f>AND(NOT(ISNUMBER(MATCH(DATE($A$2,INT((COLUMN()-1)/31.001)+$A$1,ROUNDUP(MOD(COLUMN()-1,31.001),0)),HolidayList[Date],0))),(VLOOKUP(VLOOKUP(WEEKDAY(DATE($A$2,INT((COLUMN()-1)/31.001)+$A$1,ROUNDUP(MOD(COLUMN()-1,31.001),0)),2),Sheet3!$D$1:$E$7,2,0),$NW$21:$NX$27,2,0)="Yes"))</f>
        <v>1</v>
      </c>
      <c r="MX3" s="17" t="b">
        <f>AND(NOT(ISNUMBER(MATCH(DATE($A$2,INT((COLUMN()-1)/31.001)+$A$1,ROUNDUP(MOD(COLUMN()-1,31.001),0)),HolidayList[Date],0))),(VLOOKUP(VLOOKUP(WEEKDAY(DATE($A$2,INT((COLUMN()-1)/31.001)+$A$1,ROUNDUP(MOD(COLUMN()-1,31.001),0)),2),Sheet3!$D$1:$E$7,2,0),$NW$21:$NX$27,2,0)="Yes"))</f>
        <v>1</v>
      </c>
      <c r="MY3" s="17" t="b">
        <f>AND(NOT(ISNUMBER(MATCH(DATE($A$2,INT((COLUMN()-1)/31.001)+$A$1,ROUNDUP(MOD(COLUMN()-1,31.001),0)),HolidayList[Date],0))),(VLOOKUP(VLOOKUP(WEEKDAY(DATE($A$2,INT((COLUMN()-1)/31.001)+$A$1,ROUNDUP(MOD(COLUMN()-1,31.001),0)),2),Sheet3!$D$1:$E$7,2,0),$NW$21:$NX$27,2,0)="Yes"))</f>
        <v>1</v>
      </c>
      <c r="MZ3" s="17" t="b">
        <f>AND(NOT(ISNUMBER(MATCH(DATE($A$2,INT((COLUMN()-1)/31.001)+$A$1,ROUNDUP(MOD(COLUMN()-1,31.001),0)),HolidayList[Date],0))),(VLOOKUP(VLOOKUP(WEEKDAY(DATE($A$2,INT((COLUMN()-1)/31.001)+$A$1,ROUNDUP(MOD(COLUMN()-1,31.001),0)),2),Sheet3!$D$1:$E$7,2,0),$NW$21:$NX$27,2,0)="Yes"))</f>
        <v>0</v>
      </c>
      <c r="NA3" s="17" t="b">
        <f>AND(NOT(ISNUMBER(MATCH(DATE($A$2,INT((COLUMN()-1)/31.001)+$A$1,ROUNDUP(MOD(COLUMN()-1,31.001),0)),HolidayList[Date],0))),(VLOOKUP(VLOOKUP(WEEKDAY(DATE($A$2,INT((COLUMN()-1)/31.001)+$A$1,ROUNDUP(MOD(COLUMN()-1,31.001),0)),2),Sheet3!$D$1:$E$7,2,0),$NW$21:$NX$27,2,0)="Yes"))</f>
        <v>0</v>
      </c>
      <c r="NB3" s="17" t="b">
        <f>AND(NOT(ISNUMBER(MATCH(DATE($A$2,INT((COLUMN()-1)/31.001)+$A$1,ROUNDUP(MOD(COLUMN()-1,31.001),0)),HolidayList[Date],0))),(VLOOKUP(VLOOKUP(WEEKDAY(DATE($A$2,INT((COLUMN()-1)/31.001)+$A$1,ROUNDUP(MOD(COLUMN()-1,31.001),0)),2),Sheet3!$D$1:$E$7,2,0),$NW$21:$NX$27,2,0)="Yes"))</f>
        <v>1</v>
      </c>
      <c r="NC3" s="17" t="b">
        <f>AND(NOT(ISNUMBER(MATCH(DATE($A$2,INT((COLUMN()-1)/31.001)+$A$1,ROUNDUP(MOD(COLUMN()-1,31.001),0)),HolidayList[Date],0))),(VLOOKUP(VLOOKUP(WEEKDAY(DATE($A$2,INT((COLUMN()-1)/31.001)+$A$1,ROUNDUP(MOD(COLUMN()-1,31.001),0)),2),Sheet3!$D$1:$E$7,2,0),$NW$21:$NX$27,2,0)="Yes"))</f>
        <v>0</v>
      </c>
      <c r="ND3" s="17" t="b">
        <f>AND(NOT(ISNUMBER(MATCH(DATE($A$2,INT((COLUMN()-1)/31.001)+$A$1,ROUNDUP(MOD(COLUMN()-1,31.001),0)),HolidayList[Date],0))),(VLOOKUP(VLOOKUP(WEEKDAY(DATE($A$2,INT((COLUMN()-1)/31.001)+$A$1,ROUNDUP(MOD(COLUMN()-1,31.001),0)),2),Sheet3!$D$1:$E$7,2,0),$NW$21:$NX$27,2,0)="Yes"))</f>
        <v>1</v>
      </c>
      <c r="NE3" s="17" t="b">
        <f>AND(NOT(ISNUMBER(MATCH(DATE($A$2,INT((COLUMN()-1)/31.001)+$A$1,ROUNDUP(MOD(COLUMN()-1,31.001),0)),HolidayList[Date],0))),(VLOOKUP(VLOOKUP(WEEKDAY(DATE($A$2,INT((COLUMN()-1)/31.001)+$A$1,ROUNDUP(MOD(COLUMN()-1,31.001),0)),2),Sheet3!$D$1:$E$7,2,0),$NW$21:$NX$27,2,0)="Yes"))</f>
        <v>1</v>
      </c>
      <c r="NF3" s="17" t="b">
        <f>AND(NOT(ISNUMBER(MATCH(DATE($A$2,INT((COLUMN()-1)/31.001)+$A$1,ROUNDUP(MOD(COLUMN()-1,31.001),0)),HolidayList[Date],0))),(VLOOKUP(VLOOKUP(WEEKDAY(DATE($A$2,INT((COLUMN()-1)/31.001)+$A$1,ROUNDUP(MOD(COLUMN()-1,31.001),0)),2),Sheet3!$D$1:$E$7,2,0),$NW$21:$NX$27,2,0)="Yes"))</f>
        <v>1</v>
      </c>
      <c r="NG3" s="17" t="b">
        <f>AND(NOT(ISNUMBER(MATCH(DATE($A$2,INT((COLUMN()-1)/31.001)+$A$1,ROUNDUP(MOD(COLUMN()-1,31.001),0)),HolidayList[Date],0))),(VLOOKUP(VLOOKUP(WEEKDAY(DATE($A$2,INT((COLUMN()-1)/31.001)+$A$1,ROUNDUP(MOD(COLUMN()-1,31.001),0)),2),Sheet3!$D$1:$E$7,2,0),$NW$21:$NX$27,2,0)="Yes"))</f>
        <v>0</v>
      </c>
      <c r="NH3" s="17" t="b">
        <f>AND(NOT(ISNUMBER(MATCH(DATE($A$2,INT((COLUMN()-1)/31.001)+$A$1,ROUNDUP(MOD(COLUMN()-1,31.001),0)),HolidayList[Date],0))),(VLOOKUP(VLOOKUP(WEEKDAY(DATE($A$2,INT((COLUMN()-1)/31.001)+$A$1,ROUNDUP(MOD(COLUMN()-1,31.001),0)),2),Sheet3!$D$1:$E$7,2,0),$NW$21:$NX$27,2,0)="Yes"))</f>
        <v>0</v>
      </c>
      <c r="NI3" s="17" t="b">
        <f>AND(NOT(ISNUMBER(MATCH(DATE($A$2,INT((COLUMN()-1)/31.001)+$A$1,ROUNDUP(MOD(COLUMN()-1,31.001),0)),HolidayList[Date],0))),(VLOOKUP(VLOOKUP(WEEKDAY(DATE($A$2,INT((COLUMN()-1)/31.001)+$A$1,ROUNDUP(MOD(COLUMN()-1,31.001),0)),2),Sheet3!$D$1:$E$7,2,0),$NW$21:$NX$27,2,0)="Yes"))</f>
        <v>1</v>
      </c>
      <c r="NJ3" s="3"/>
      <c r="NK3" s="3"/>
      <c r="NL3" s="3"/>
      <c r="NM3" s="3"/>
      <c r="NN3" s="3"/>
      <c r="NO3" s="3"/>
      <c r="NP3" s="3"/>
      <c r="NQ3" s="3"/>
      <c r="NR3" s="3"/>
      <c r="NS3" s="3"/>
      <c r="NT3" s="3"/>
      <c r="NU3" s="3"/>
      <c r="NV3" s="3"/>
      <c r="NY3" s="3"/>
      <c r="NZ3" s="3"/>
      <c r="OA3" s="3"/>
      <c r="OB3" s="3"/>
      <c r="OC3" s="3"/>
      <c r="OD3" s="3"/>
      <c r="OE3" s="3"/>
      <c r="OF3" s="3"/>
      <c r="OG3" s="3"/>
      <c r="OH3" s="3"/>
      <c r="OI3" s="3"/>
      <c r="OJ3" s="3"/>
      <c r="OK3" s="3"/>
      <c r="OL3" s="3"/>
      <c r="OM3" s="3"/>
      <c r="ON3" s="3"/>
      <c r="OO3" s="3"/>
      <c r="OP3" s="3"/>
      <c r="OQ3" s="3"/>
      <c r="OR3" s="3"/>
      <c r="OS3" s="3"/>
      <c r="OT3" s="3"/>
      <c r="OU3" s="3"/>
      <c r="OV3" s="3"/>
      <c r="OW3" s="3"/>
      <c r="OX3" s="3"/>
      <c r="OY3" s="3"/>
      <c r="OZ3" s="3"/>
      <c r="PA3" s="3"/>
      <c r="PB3" s="3"/>
      <c r="PC3" s="3"/>
      <c r="PD3" s="3"/>
      <c r="PE3" s="3"/>
      <c r="PF3" s="3"/>
      <c r="PG3" s="3"/>
      <c r="PH3" s="3"/>
      <c r="PI3" s="3"/>
      <c r="PJ3" s="3"/>
      <c r="PK3" s="3"/>
      <c r="PL3" s="3"/>
      <c r="PM3" s="3"/>
      <c r="PN3" s="3"/>
      <c r="PO3" s="3"/>
      <c r="PP3" s="3"/>
      <c r="PQ3" s="3"/>
      <c r="PR3" s="3"/>
      <c r="PS3" s="3"/>
      <c r="PT3" s="3"/>
      <c r="PU3" s="3"/>
      <c r="PV3" s="3"/>
      <c r="PW3" s="3"/>
      <c r="PX3" s="3"/>
      <c r="PY3" s="3"/>
      <c r="PZ3" s="3"/>
      <c r="QA3" s="3"/>
      <c r="QB3" s="3"/>
      <c r="QC3" s="3"/>
      <c r="QD3" s="3"/>
      <c r="QE3" s="3"/>
      <c r="QF3" s="3"/>
      <c r="QG3" s="3"/>
      <c r="QH3" s="3"/>
      <c r="QI3" s="3"/>
      <c r="QJ3" s="3"/>
      <c r="QK3" s="3"/>
      <c r="QL3" s="3"/>
      <c r="QM3" s="3"/>
      <c r="QN3" s="3"/>
      <c r="QO3" s="3"/>
      <c r="QP3" s="3"/>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3"/>
      <c r="SQ3" s="3"/>
      <c r="SR3" s="3"/>
      <c r="SS3" s="3"/>
      <c r="ST3" s="3"/>
      <c r="SU3" s="3"/>
      <c r="SV3" s="3"/>
      <c r="SW3" s="3"/>
      <c r="SX3" s="3"/>
      <c r="SY3" s="3"/>
      <c r="SZ3" s="3"/>
      <c r="TA3" s="3"/>
      <c r="TB3" s="3"/>
      <c r="TC3" s="3"/>
      <c r="TD3" s="3"/>
      <c r="TE3" s="3"/>
      <c r="TF3" s="3"/>
      <c r="TG3" s="3"/>
      <c r="TH3" s="3"/>
      <c r="TI3" s="3"/>
      <c r="TJ3" s="3"/>
      <c r="TK3" s="3"/>
      <c r="TL3" s="3"/>
      <c r="TM3" s="3"/>
      <c r="TN3" s="3"/>
      <c r="TO3" s="3"/>
      <c r="TP3" s="3"/>
      <c r="TQ3" s="3"/>
      <c r="TR3" s="3"/>
      <c r="TS3" s="3"/>
      <c r="TT3" s="3"/>
      <c r="TU3" s="3"/>
      <c r="TV3" s="3"/>
      <c r="TW3" s="3"/>
      <c r="TX3" s="3"/>
      <c r="TY3" s="3"/>
      <c r="TZ3" s="3"/>
      <c r="UA3" s="3"/>
      <c r="UB3" s="3"/>
      <c r="UC3" s="3"/>
      <c r="UD3" s="3"/>
      <c r="UE3" s="3"/>
      <c r="UF3" s="3"/>
      <c r="UG3" s="3"/>
      <c r="UH3" s="3"/>
      <c r="UI3" s="3"/>
      <c r="UJ3" s="3"/>
      <c r="UK3" s="3"/>
      <c r="UL3" s="3"/>
      <c r="UM3" s="3"/>
      <c r="UN3" s="3"/>
      <c r="UO3" s="3"/>
      <c r="UP3" s="3"/>
      <c r="UQ3" s="3"/>
      <c r="UR3" s="3"/>
      <c r="US3" s="3"/>
      <c r="UT3" s="3"/>
      <c r="UU3" s="3"/>
      <c r="UV3" s="3"/>
      <c r="UW3" s="3"/>
      <c r="UX3" s="3"/>
      <c r="UY3" s="3"/>
      <c r="UZ3" s="3"/>
      <c r="VA3" s="3"/>
      <c r="VB3" s="3"/>
      <c r="VC3" s="3"/>
      <c r="VD3" s="3"/>
      <c r="VE3" s="3"/>
      <c r="VF3" s="3"/>
      <c r="VG3" s="3"/>
      <c r="VH3" s="3"/>
      <c r="VI3" s="3"/>
      <c r="VJ3" s="3"/>
      <c r="VK3" s="3"/>
      <c r="VL3" s="3"/>
      <c r="VM3" s="3"/>
      <c r="VN3" s="3"/>
      <c r="VO3" s="3"/>
      <c r="VP3" s="3"/>
      <c r="VQ3" s="3"/>
      <c r="VR3" s="3"/>
      <c r="VS3" s="3"/>
      <c r="VT3" s="3"/>
      <c r="VU3" s="3"/>
      <c r="VV3" s="3"/>
      <c r="VW3" s="3"/>
      <c r="VX3" s="3"/>
      <c r="VY3" s="3"/>
      <c r="VZ3" s="3"/>
      <c r="WA3" s="3"/>
      <c r="WB3" s="3"/>
      <c r="WC3" s="3"/>
      <c r="WD3" s="3"/>
      <c r="WE3" s="3"/>
      <c r="WF3" s="3"/>
      <c r="WG3" s="3"/>
      <c r="WH3" s="3"/>
      <c r="WI3" s="3"/>
      <c r="WJ3" s="3"/>
      <c r="WK3" s="3"/>
      <c r="WL3" s="3"/>
      <c r="WM3" s="3"/>
      <c r="WN3" s="3"/>
      <c r="WO3" s="3"/>
      <c r="WP3" s="3"/>
      <c r="WQ3" s="3"/>
      <c r="WR3" s="3"/>
      <c r="WS3" s="3"/>
      <c r="WT3" s="3"/>
      <c r="WU3" s="3"/>
      <c r="WV3" s="3"/>
      <c r="WW3" s="3"/>
      <c r="WX3" s="3"/>
      <c r="WY3" s="3"/>
      <c r="WZ3" s="3"/>
      <c r="XA3" s="3"/>
      <c r="XB3" s="3"/>
      <c r="XC3" s="3"/>
      <c r="XD3" s="3"/>
      <c r="XE3" s="3"/>
      <c r="XF3" s="3"/>
      <c r="XG3" s="3"/>
      <c r="XH3" s="3"/>
      <c r="XI3" s="3"/>
      <c r="XJ3" s="3"/>
      <c r="XK3" s="3"/>
      <c r="XL3" s="3"/>
      <c r="XM3" s="3"/>
      <c r="XN3" s="3"/>
      <c r="XO3" s="3"/>
      <c r="XP3" s="3"/>
      <c r="XQ3" s="3"/>
      <c r="XR3" s="3"/>
      <c r="XS3" s="3"/>
      <c r="XT3" s="3"/>
      <c r="XU3" s="3"/>
      <c r="XV3" s="3"/>
      <c r="XW3" s="3"/>
      <c r="XX3" s="3"/>
      <c r="XY3" s="3"/>
      <c r="XZ3" s="3"/>
      <c r="YA3" s="3"/>
      <c r="YB3" s="3"/>
      <c r="YC3" s="3"/>
      <c r="YD3" s="3"/>
      <c r="YE3" s="3"/>
      <c r="YF3" s="3"/>
      <c r="YG3" s="3"/>
      <c r="YH3" s="3"/>
      <c r="YI3" s="3"/>
      <c r="YJ3" s="3"/>
      <c r="YK3" s="3"/>
      <c r="YL3" s="3"/>
      <c r="YM3" s="3"/>
      <c r="YN3" s="3"/>
      <c r="YO3" s="3"/>
      <c r="YP3" s="3"/>
      <c r="YQ3" s="3"/>
      <c r="YR3" s="3"/>
      <c r="YS3" s="3"/>
      <c r="YT3" s="3"/>
      <c r="YU3" s="3"/>
      <c r="YV3" s="3"/>
      <c r="YW3" s="3"/>
      <c r="YX3" s="3"/>
      <c r="YY3" s="3"/>
      <c r="YZ3" s="3"/>
      <c r="ZA3" s="3"/>
      <c r="ZB3" s="3"/>
      <c r="ZC3" s="3"/>
      <c r="ZD3" s="3"/>
      <c r="ZE3" s="3"/>
      <c r="ZF3" s="3"/>
      <c r="ZG3" s="3"/>
      <c r="ZH3" s="3"/>
      <c r="ZI3" s="3"/>
      <c r="ZJ3" s="3"/>
      <c r="ZK3" s="3"/>
      <c r="ZL3" s="3"/>
      <c r="ZM3" s="3"/>
      <c r="ZN3" s="3"/>
      <c r="ZO3" s="3"/>
      <c r="ZP3" s="3"/>
      <c r="ZQ3" s="3"/>
      <c r="ZR3" s="3"/>
      <c r="ZS3" s="3"/>
      <c r="ZT3" s="3"/>
      <c r="ZU3" s="3"/>
      <c r="ZV3" s="3"/>
      <c r="ZW3" s="3"/>
      <c r="ZX3" s="3"/>
      <c r="ZY3" s="3"/>
      <c r="ZZ3" s="3"/>
      <c r="AAA3" s="3"/>
      <c r="AAB3" s="3"/>
      <c r="AAC3" s="3"/>
      <c r="AAD3" s="3"/>
      <c r="AAE3" s="3"/>
      <c r="AAF3" s="3"/>
      <c r="AAG3" s="3"/>
      <c r="AAH3" s="3"/>
      <c r="AAI3" s="3"/>
      <c r="AAJ3" s="3"/>
      <c r="AAK3" s="3"/>
      <c r="AAL3" s="3"/>
      <c r="AAM3" s="3"/>
      <c r="AAN3" s="3"/>
      <c r="AAO3" s="3"/>
      <c r="AAP3" s="3"/>
      <c r="AAQ3" s="3"/>
      <c r="AAR3" s="3"/>
      <c r="AAS3" s="3"/>
      <c r="AAT3" s="3"/>
      <c r="AAU3" s="3"/>
      <c r="AAV3" s="3"/>
      <c r="AAW3" s="3"/>
      <c r="AAX3" s="3"/>
      <c r="AAY3" s="3"/>
      <c r="AAZ3" s="3"/>
      <c r="ABA3" s="3"/>
      <c r="ABB3" s="3"/>
      <c r="ABC3" s="3"/>
      <c r="ABD3" s="3"/>
      <c r="ABE3" s="3"/>
      <c r="ABF3" s="3"/>
      <c r="ABG3" s="3"/>
      <c r="ABH3" s="3"/>
      <c r="ABI3" s="3"/>
      <c r="ABJ3" s="3"/>
      <c r="ABK3" s="3"/>
      <c r="ABL3" s="3"/>
      <c r="ABM3" s="3"/>
      <c r="ABN3" s="3"/>
      <c r="ABO3" s="3"/>
      <c r="ABP3" s="3"/>
      <c r="ABQ3" s="3"/>
      <c r="ABR3" s="3"/>
      <c r="ABS3" s="3"/>
      <c r="ABT3" s="3"/>
      <c r="ABU3" s="3"/>
      <c r="ABV3" s="3"/>
      <c r="ABW3" s="3"/>
      <c r="ABX3" s="3"/>
      <c r="ABY3" s="3"/>
      <c r="ABZ3" s="3"/>
      <c r="ACA3" s="3"/>
      <c r="ACB3" s="3"/>
      <c r="ACC3" s="3"/>
      <c r="ACD3" s="3"/>
      <c r="ACE3" s="3"/>
      <c r="ACF3" s="3"/>
      <c r="ACG3" s="3"/>
    </row>
    <row r="4" spans="1:761" x14ac:dyDescent="0.3">
      <c r="A4" s="5"/>
      <c r="B4" s="17" t="b">
        <f>IFERROR(IF(AND(VLOOKUP(B6,$NW$21:$NX$27,2,0)="Yes",NOT(ISNUMBER(VLOOKUP(DATE($A$2,$A$3+$A$1-1,B5),HolidayList[Date],1,0)))),TRUE,FALSE),FALSE)</f>
        <v>0</v>
      </c>
      <c r="C4" s="17" t="b">
        <f>IFERROR(IF(AND(VLOOKUP(C6,$NW$21:$NX$27,2,0)="Yes",NOT(ISNUMBER(VLOOKUP(DATE($A$2,$A$3+$A$1-1,C5),HolidayList[Date],1,0)))),TRUE,FALSE),FALSE)</f>
        <v>1</v>
      </c>
      <c r="D4" s="17" t="b">
        <f>IFERROR(IF(AND(VLOOKUP(D6,$NW$21:$NX$27,2,0)="Yes",NOT(ISNUMBER(VLOOKUP(DATE($A$2,$A$3+$A$1-1,D5),HolidayList[Date],1,0)))),TRUE,FALSE),FALSE)</f>
        <v>1</v>
      </c>
      <c r="E4" s="17" t="b">
        <f>IFERROR(IF(AND(VLOOKUP(E6,$NW$21:$NX$27,2,0)="Yes",NOT(ISNUMBER(VLOOKUP(DATE($A$2,$A$3+$A$1-1,E5),HolidayList[Date],1,0)))),TRUE,FALSE),FALSE)</f>
        <v>1</v>
      </c>
      <c r="F4" s="17" t="b">
        <f>IFERROR(IF(AND(VLOOKUP(F6,$NW$21:$NX$27,2,0)="Yes",NOT(ISNUMBER(VLOOKUP(DATE($A$2,$A$3+$A$1-1,F5),HolidayList[Date],1,0)))),TRUE,FALSE),FALSE)</f>
        <v>1</v>
      </c>
      <c r="G4" s="17" t="b">
        <f>IFERROR(IF(AND(VLOOKUP(G6,$NW$21:$NX$27,2,0)="Yes",NOT(ISNUMBER(VLOOKUP(DATE($A$2,$A$3+$A$1-1,G5),HolidayList[Date],1,0)))),TRUE,FALSE),FALSE)</f>
        <v>0</v>
      </c>
      <c r="H4" s="17" t="b">
        <f>IFERROR(IF(AND(VLOOKUP(H6,$NW$21:$NX$27,2,0)="Yes",NOT(ISNUMBER(VLOOKUP(DATE($A$2,$A$3+$A$1-1,H5),HolidayList[Date],1,0)))),TRUE,FALSE),FALSE)</f>
        <v>0</v>
      </c>
      <c r="I4" s="17" t="b">
        <f>IFERROR(IF(AND(VLOOKUP(I6,$NW$21:$NX$27,2,0)="Yes",NOT(ISNUMBER(VLOOKUP(DATE($A$2,$A$3+$A$1-1,I5),HolidayList[Date],1,0)))),TRUE,FALSE),FALSE)</f>
        <v>1</v>
      </c>
      <c r="J4" s="17" t="b">
        <f>IFERROR(IF(AND(VLOOKUP(J6,$NW$21:$NX$27,2,0)="Yes",NOT(ISNUMBER(VLOOKUP(DATE($A$2,$A$3+$A$1-1,J5),HolidayList[Date],1,0)))),TRUE,FALSE),FALSE)</f>
        <v>1</v>
      </c>
      <c r="K4" s="17" t="b">
        <f>IFERROR(IF(AND(VLOOKUP(K6,$NW$21:$NX$27,2,0)="Yes",NOT(ISNUMBER(VLOOKUP(DATE($A$2,$A$3+$A$1-1,K5),HolidayList[Date],1,0)))),TRUE,FALSE),FALSE)</f>
        <v>1</v>
      </c>
      <c r="L4" s="17" t="b">
        <f>IFERROR(IF(AND(VLOOKUP(L6,$NW$21:$NX$27,2,0)="Yes",NOT(ISNUMBER(VLOOKUP(DATE($A$2,$A$3+$A$1-1,L5),HolidayList[Date],1,0)))),TRUE,FALSE),FALSE)</f>
        <v>1</v>
      </c>
      <c r="M4" s="17" t="b">
        <f>IFERROR(IF(AND(VLOOKUP(M6,$NW$21:$NX$27,2,0)="Yes",NOT(ISNUMBER(VLOOKUP(DATE($A$2,$A$3+$A$1-1,M5),HolidayList[Date],1,0)))),TRUE,FALSE),FALSE)</f>
        <v>1</v>
      </c>
      <c r="N4" s="17" t="b">
        <f>IFERROR(IF(AND(VLOOKUP(N6,$NW$21:$NX$27,2,0)="Yes",NOT(ISNUMBER(VLOOKUP(DATE($A$2,$A$3+$A$1-1,N5),HolidayList[Date],1,0)))),TRUE,FALSE),FALSE)</f>
        <v>0</v>
      </c>
      <c r="O4" s="17" t="b">
        <f>IFERROR(IF(AND(VLOOKUP(O6,$NW$21:$NX$27,2,0)="Yes",NOT(ISNUMBER(VLOOKUP(DATE($A$2,$A$3+$A$1-1,O5),HolidayList[Date],1,0)))),TRUE,FALSE),FALSE)</f>
        <v>0</v>
      </c>
      <c r="P4" s="17" t="b">
        <f>IFERROR(IF(AND(VLOOKUP(P6,$NW$21:$NX$27,2,0)="Yes",NOT(ISNUMBER(VLOOKUP(DATE($A$2,$A$3+$A$1-1,P5),HolidayList[Date],1,0)))),TRUE,FALSE),FALSE)</f>
        <v>0</v>
      </c>
      <c r="Q4" s="17" t="b">
        <f>IFERROR(IF(AND(VLOOKUP(Q6,$NW$21:$NX$27,2,0)="Yes",NOT(ISNUMBER(VLOOKUP(DATE($A$2,$A$3+$A$1-1,Q5),HolidayList[Date],1,0)))),TRUE,FALSE),FALSE)</f>
        <v>1</v>
      </c>
      <c r="R4" s="17" t="b">
        <f>IFERROR(IF(AND(VLOOKUP(R6,$NW$21:$NX$27,2,0)="Yes",NOT(ISNUMBER(VLOOKUP(DATE($A$2,$A$3+$A$1-1,R5),HolidayList[Date],1,0)))),TRUE,FALSE),FALSE)</f>
        <v>1</v>
      </c>
      <c r="S4" s="17" t="b">
        <f>IFERROR(IF(AND(VLOOKUP(S6,$NW$21:$NX$27,2,0)="Yes",NOT(ISNUMBER(VLOOKUP(DATE($A$2,$A$3+$A$1-1,S5),HolidayList[Date],1,0)))),TRUE,FALSE),FALSE)</f>
        <v>1</v>
      </c>
      <c r="T4" s="17" t="b">
        <f>IFERROR(IF(AND(VLOOKUP(T6,$NW$21:$NX$27,2,0)="Yes",NOT(ISNUMBER(VLOOKUP(DATE($A$2,$A$3+$A$1-1,T5),HolidayList[Date],1,0)))),TRUE,FALSE),FALSE)</f>
        <v>1</v>
      </c>
      <c r="U4" s="17" t="b">
        <f>IFERROR(IF(AND(VLOOKUP(U6,$NW$21:$NX$27,2,0)="Yes",NOT(ISNUMBER(VLOOKUP(DATE($A$2,$A$3+$A$1-1,U5),HolidayList[Date],1,0)))),TRUE,FALSE),FALSE)</f>
        <v>0</v>
      </c>
      <c r="V4" s="17" t="b">
        <f>IFERROR(IF(AND(VLOOKUP(V6,$NW$21:$NX$27,2,0)="Yes",NOT(ISNUMBER(VLOOKUP(DATE($A$2,$A$3+$A$1-1,V5),HolidayList[Date],1,0)))),TRUE,FALSE),FALSE)</f>
        <v>0</v>
      </c>
      <c r="W4" s="17" t="b">
        <f>IFERROR(IF(AND(VLOOKUP(W6,$NW$21:$NX$27,2,0)="Yes",NOT(ISNUMBER(VLOOKUP(DATE($A$2,$A$3+$A$1-1,W5),HolidayList[Date],1,0)))),TRUE,FALSE),FALSE)</f>
        <v>1</v>
      </c>
      <c r="X4" s="17" t="b">
        <f>IFERROR(IF(AND(VLOOKUP(X6,$NW$21:$NX$27,2,0)="Yes",NOT(ISNUMBER(VLOOKUP(DATE($A$2,$A$3+$A$1-1,X5),HolidayList[Date],1,0)))),TRUE,FALSE),FALSE)</f>
        <v>1</v>
      </c>
      <c r="Y4" s="17" t="b">
        <f>IFERROR(IF(AND(VLOOKUP(Y6,$NW$21:$NX$27,2,0)="Yes",NOT(ISNUMBER(VLOOKUP(DATE($A$2,$A$3+$A$1-1,Y5),HolidayList[Date],1,0)))),TRUE,FALSE),FALSE)</f>
        <v>1</v>
      </c>
      <c r="Z4" s="17" t="b">
        <f>IFERROR(IF(AND(VLOOKUP(Z6,$NW$21:$NX$27,2,0)="Yes",NOT(ISNUMBER(VLOOKUP(DATE($A$2,$A$3+$A$1-1,Z5),HolidayList[Date],1,0)))),TRUE,FALSE),FALSE)</f>
        <v>1</v>
      </c>
      <c r="AA4" s="17" t="b">
        <f>IFERROR(IF(AND(VLOOKUP(AA6,$NW$21:$NX$27,2,0)="Yes",NOT(ISNUMBER(VLOOKUP(DATE($A$2,$A$3+$A$1-1,AA5),HolidayList[Date],1,0)))),TRUE,FALSE),FALSE)</f>
        <v>1</v>
      </c>
      <c r="AB4" s="17" t="b">
        <f>IFERROR(IF(AND(VLOOKUP(AB6,$NW$21:$NX$27,2,0)="Yes",NOT(ISNUMBER(VLOOKUP(DATE($A$2,$A$3+$A$1-1,AB5),HolidayList[Date],1,0)))),TRUE,FALSE),FALSE)</f>
        <v>0</v>
      </c>
      <c r="AC4" s="17" t="b">
        <f>IFERROR(IF(AND(VLOOKUP(AC6,$NW$21:$NX$27,2,0)="Yes",NOT(ISNUMBER(VLOOKUP(DATE($A$2,$A$3+$A$1-1,AC5),HolidayList[Date],1,0)))),TRUE,FALSE),FALSE)</f>
        <v>0</v>
      </c>
      <c r="AD4" s="17" t="b">
        <f>IFERROR(IF(AND(VLOOKUP(AD6,$NW$21:$NX$27,2,0)="Yes",NOT(ISNUMBER(VLOOKUP(DATE($A$2,$A$3+$A$1-1,AD5),HolidayList[Date],1,0)))),TRUE,FALSE),FALSE)</f>
        <v>1</v>
      </c>
      <c r="AE4" s="17" t="b">
        <f>IFERROR(IF(AND(VLOOKUP(AE6,$NW$21:$NX$27,2,0)="Yes",NOT(ISNUMBER(VLOOKUP(DATE($A$2,$A$3+$A$1-1,AE5),HolidayList[Date],1,0)))),TRUE,FALSE),FALSE)</f>
        <v>1</v>
      </c>
      <c r="AF4" s="17" t="b">
        <f>IFERROR(IF(AND(VLOOKUP(AF6,$NW$21:$NX$27,2,0)="Yes",NOT(ISNUMBER(VLOOKUP(DATE($A$2,$A$3+$A$1-1,AF5),HolidayList[Date],1,0)))),TRUE,FALSE),FALSE)</f>
        <v>1</v>
      </c>
      <c r="AG4" s="17" t="b">
        <f>IFERROR(IF(AND(VLOOKUP(AG6,$NW$21:$NX$27,2,0)="Yes",NOT(ISNUMBER(VLOOKUP(DATE($A$2,$A$3+$A$1-1,AG5),HolidayList[Date],1,0)))),TRUE,FALSE),FALSE)</f>
        <v>0</v>
      </c>
      <c r="AH4" s="17" t="b">
        <f>IFERROR(IF(AND(VLOOKUP(AH6,$NW$21:$NX$27,2,0)="Yes",NOT(ISNUMBER(VLOOKUP(DATE($A$2,$A$3+$A$1-1,AH5),HolidayList[Date],1,0)))),TRUE,FALSE),FALSE)</f>
        <v>0</v>
      </c>
      <c r="AI4" s="17" t="b">
        <f>IFERROR(IF(AND(VLOOKUP(AI6,$NW$21:$NX$27,2,0)="Yes",NOT(ISNUMBER(VLOOKUP(DATE($A$2,$A$3+$A$1-1,AI5),HolidayList[Date],1,0)))),TRUE,FALSE),FALSE)</f>
        <v>0</v>
      </c>
      <c r="AJ4" s="17" t="b">
        <f>IFERROR(IF(AND(VLOOKUP(AJ6,$NW$21:$NX$27,2,0)="Yes",NOT(ISNUMBER(VLOOKUP(DATE($A$2,$A$3+$A$1-1,AJ5),HolidayList[Date],1,0)))),TRUE,FALSE),FALSE)</f>
        <v>0</v>
      </c>
      <c r="AK4" s="17" t="b">
        <f>IFERROR(IF(AND(VLOOKUP(AK6,$NW$21:$NX$27,2,0)="Yes",NOT(ISNUMBER(VLOOKUP(DATE($A$2,$A$3+$A$1-1,AK5),HolidayList[Date],1,0)))),TRUE,FALSE),FALSE)</f>
        <v>0</v>
      </c>
      <c r="AL4" s="17" t="b">
        <f>IFERROR(IF(AND(VLOOKUP(AL6,$NW$21:$NX$27,2,0)="Yes",NOT(ISNUMBER(VLOOKUP(DATE($A$2,$A$3+$A$1-1,AL5),HolidayList[Date],1,0)))),TRUE,FALSE),FALSE)</f>
        <v>0</v>
      </c>
      <c r="AM4" s="17" t="b">
        <f>IFERROR(IF(AND(VLOOKUP(AM6,$NW$21:$NX$27,2,0)="Yes",NOT(ISNUMBER(VLOOKUP(DATE($A$2,$A$3+$A$1-1,AM5),HolidayList[Date],1,0)))),TRUE,FALSE),FALSE)</f>
        <v>0</v>
      </c>
      <c r="AN4" s="17" t="b">
        <f>IFERROR(IF(AND(VLOOKUP(AN6,$NW$21:$NX$27,2,0)="Yes",NOT(ISNUMBER(VLOOKUP(DATE($A$2,$A$3+$A$1-1,AN5),HolidayList[Date],1,0)))),TRUE,FALSE),FALSE)</f>
        <v>0</v>
      </c>
      <c r="AO4" s="17" t="b">
        <f>IFERROR(IF(AND(VLOOKUP(AO6,$NW$21:$NX$27,2,0)="Yes",NOT(ISNUMBER(VLOOKUP(DATE($A$2,$A$3+$A$1-1,AO5),HolidayList[Date],1,0)))),TRUE,FALSE),FALSE)</f>
        <v>0</v>
      </c>
      <c r="AP4" s="17" t="b">
        <f>IFERROR(IF(AND(VLOOKUP(AP6,$NW$21:$NX$27,2,0)="Yes",NOT(ISNUMBER(VLOOKUP(DATE($A$2,$A$3+$A$1-1,AP5),HolidayList[Date],1,0)))),TRUE,FALSE),FALSE)</f>
        <v>0</v>
      </c>
      <c r="AQ4" s="17" t="b">
        <f>IFERROR(IF(AND(VLOOKUP(AQ6,$NW$21:$NX$27,2,0)="Yes",NOT(ISNUMBER(VLOOKUP(DATE($A$2,$A$3+$A$1-1,AQ5),HolidayList[Date],1,0)))),TRUE,FALSE),FALSE)</f>
        <v>0</v>
      </c>
      <c r="AR4" s="17" t="b">
        <f>IFERROR(IF(AND(VLOOKUP(AR6,$NW$21:$NX$27,2,0)="Yes",NOT(ISNUMBER(VLOOKUP(DATE($A$2,$A$3+$A$1-1,AR5),HolidayList[Date],1,0)))),TRUE,FALSE),FALSE)</f>
        <v>0</v>
      </c>
      <c r="AS4" s="17" t="b">
        <f>IFERROR(IF(AND(VLOOKUP(AS6,$NW$21:$NX$27,2,0)="Yes",NOT(ISNUMBER(VLOOKUP(DATE($A$2,$A$3+$A$1-1,AS5),HolidayList[Date],1,0)))),TRUE,FALSE),FALSE)</f>
        <v>0</v>
      </c>
      <c r="AT4" s="17" t="b">
        <f>IFERROR(IF(AND(VLOOKUP(AT6,$NW$21:$NX$27,2,0)="Yes",NOT(ISNUMBER(VLOOKUP(DATE($A$2,$A$3+$A$1-1,AT5),HolidayList[Date],1,0)))),TRUE,FALSE),FALSE)</f>
        <v>0</v>
      </c>
      <c r="AU4" s="17" t="b">
        <f>IFERROR(IF(AND(VLOOKUP(AU6,$NW$21:$NX$27,2,0)="Yes",NOT(ISNUMBER(VLOOKUP(DATE($A$2,$A$3+$A$1-1,AU5),HolidayList[Date],1,0)))),TRUE,FALSE),FALSE)</f>
        <v>0</v>
      </c>
      <c r="AV4" s="17" t="b">
        <f>IFERROR(IF(AND(VLOOKUP(AV6,$NW$21:$NX$27,2,0)="Yes",NOT(ISNUMBER(VLOOKUP(DATE($A$2,$A$3+$A$1-1,AV5),HolidayList[Date],1,0)))),TRUE,FALSE),FALSE)</f>
        <v>0</v>
      </c>
      <c r="AW4" s="17" t="b">
        <f>IFERROR(IF(AND(VLOOKUP(AW6,$NW$21:$NX$27,2,0)="Yes",NOT(ISNUMBER(VLOOKUP(DATE($A$2,$A$3+$A$1-1,AW5),HolidayList[Date],1,0)))),TRUE,FALSE),FALSE)</f>
        <v>0</v>
      </c>
      <c r="AX4" s="17" t="b">
        <f>IFERROR(IF(AND(VLOOKUP(AX6,$NW$21:$NX$27,2,0)="Yes",NOT(ISNUMBER(VLOOKUP(DATE($A$2,$A$3+$A$1-1,AX5),HolidayList[Date],1,0)))),TRUE,FALSE),FALSE)</f>
        <v>0</v>
      </c>
      <c r="AY4" s="17" t="b">
        <f>IFERROR(IF(AND(VLOOKUP(AY6,$NW$21:$NX$27,2,0)="Yes",NOT(ISNUMBER(VLOOKUP(DATE($A$2,$A$3+$A$1-1,AY5),HolidayList[Date],1,0)))),TRUE,FALSE),FALSE)</f>
        <v>0</v>
      </c>
      <c r="AZ4" s="17" t="b">
        <f>IFERROR(IF(AND(VLOOKUP(AZ6,$NW$21:$NX$27,2,0)="Yes",NOT(ISNUMBER(VLOOKUP(DATE($A$2,$A$3+$A$1-1,AZ5),HolidayList[Date],1,0)))),TRUE,FALSE),FALSE)</f>
        <v>0</v>
      </c>
      <c r="BA4" s="17" t="b">
        <f>IFERROR(IF(AND(VLOOKUP(BA6,$NW$21:$NX$27,2,0)="Yes",NOT(ISNUMBER(VLOOKUP(DATE($A$2,$A$3+$A$1-1,BA5),HolidayList[Date],1,0)))),TRUE,FALSE),FALSE)</f>
        <v>0</v>
      </c>
      <c r="BB4" s="17" t="b">
        <f>IFERROR(IF(AND(VLOOKUP(BB6,$NW$21:$NX$27,2,0)="Yes",NOT(ISNUMBER(VLOOKUP(DATE($A$2,$A$3+$A$1-1,BB5),HolidayList[Date],1,0)))),TRUE,FALSE),FALSE)</f>
        <v>0</v>
      </c>
      <c r="BC4" s="17" t="b">
        <f>IFERROR(IF(AND(VLOOKUP(BC6,$NW$21:$NX$27,2,0)="Yes",NOT(ISNUMBER(VLOOKUP(DATE($A$2,$A$3+$A$1-1,BC5),HolidayList[Date],1,0)))),TRUE,FALSE),FALSE)</f>
        <v>0</v>
      </c>
      <c r="BD4" s="17" t="b">
        <f>IFERROR(IF(AND(VLOOKUP(BD6,$NW$21:$NX$27,2,0)="Yes",NOT(ISNUMBER(VLOOKUP(DATE($A$2,$A$3+$A$1-1,BD5),HolidayList[Date],1,0)))),TRUE,FALSE),FALSE)</f>
        <v>0</v>
      </c>
      <c r="BE4" s="17" t="b">
        <f>IFERROR(IF(AND(VLOOKUP(BE6,$NW$21:$NX$27,2,0)="Yes",NOT(ISNUMBER(VLOOKUP(DATE($A$2,$A$3+$A$1-1,BE5),HolidayList[Date],1,0)))),TRUE,FALSE),FALSE)</f>
        <v>0</v>
      </c>
      <c r="BF4" s="17" t="b">
        <f>IFERROR(IF(AND(VLOOKUP(BF6,$NW$21:$NX$27,2,0)="Yes",NOT(ISNUMBER(VLOOKUP(DATE($A$2,$A$3+$A$1-1,BF5),HolidayList[Date],1,0)))),TRUE,FALSE),FALSE)</f>
        <v>0</v>
      </c>
      <c r="BG4" s="17" t="b">
        <f>IFERROR(IF(AND(VLOOKUP(BG6,$NW$21:$NX$27,2,0)="Yes",NOT(ISNUMBER(VLOOKUP(DATE($A$2,$A$3+$A$1-1,BG5),HolidayList[Date],1,0)))),TRUE,FALSE),FALSE)</f>
        <v>0</v>
      </c>
      <c r="BH4" s="17" t="b">
        <f>IFERROR(IF(AND(VLOOKUP(BH6,$NW$21:$NX$27,2,0)="Yes",NOT(ISNUMBER(VLOOKUP(DATE($A$2,$A$3+$A$1-1,BH5),HolidayList[Date],1,0)))),TRUE,FALSE),FALSE)</f>
        <v>0</v>
      </c>
      <c r="BI4" s="17" t="b">
        <f>IFERROR(IF(AND(VLOOKUP(BI6,$NW$21:$NX$27,2,0)="Yes",NOT(ISNUMBER(VLOOKUP(DATE($A$2,$A$3+$A$1-1,BI5),HolidayList[Date],1,0)))),TRUE,FALSE),FALSE)</f>
        <v>0</v>
      </c>
      <c r="BJ4" s="17" t="b">
        <f>IFERROR(IF(AND(VLOOKUP(BJ6,$NW$21:$NX$27,2,0)="Yes",NOT(ISNUMBER(VLOOKUP(DATE($A$2,$A$3+$A$1-1,BJ5),HolidayList[Date],1,0)))),TRUE,FALSE),FALSE)</f>
        <v>0</v>
      </c>
      <c r="BK4" s="17" t="b">
        <f>IFERROR(IF(AND(VLOOKUP(BK6,$NW$21:$NX$27,2,0)="Yes",NOT(ISNUMBER(VLOOKUP(DATE($A$2,$A$3+$A$1-1,BK5),HolidayList[Date],1,0)))),TRUE,FALSE),FALSE)</f>
        <v>0</v>
      </c>
      <c r="BL4" s="17" t="b">
        <f>IFERROR(IF(AND(VLOOKUP(BL6,$NW$21:$NX$27,2,0)="Yes",NOT(ISNUMBER(VLOOKUP(DATE($A$2,$A$3+$A$1-1,BL5),HolidayList[Date],1,0)))),TRUE,FALSE),FALSE)</f>
        <v>0</v>
      </c>
      <c r="BM4" s="17" t="b">
        <f>IFERROR(IF(AND(VLOOKUP(BM6,$NW$21:$NX$27,2,0)="Yes",NOT(ISNUMBER(VLOOKUP(DATE($A$2,$A$3+$A$1-1,BM5),HolidayList[Date],1,0)))),TRUE,FALSE),FALSE)</f>
        <v>0</v>
      </c>
      <c r="BN4" s="17" t="b">
        <f>IFERROR(IF(AND(VLOOKUP(BN6,$NW$21:$NX$27,2,0)="Yes",NOT(ISNUMBER(VLOOKUP(DATE($A$2,$A$3+$A$1-1,BN5),HolidayList[Date],1,0)))),TRUE,FALSE),FALSE)</f>
        <v>0</v>
      </c>
      <c r="BO4" s="17" t="b">
        <f>IFERROR(IF(AND(VLOOKUP(BO6,$NW$21:$NX$27,2,0)="Yes",NOT(ISNUMBER(VLOOKUP(DATE($A$2,$A$3+$A$1-1,BO5),HolidayList[Date],1,0)))),TRUE,FALSE),FALSE)</f>
        <v>0</v>
      </c>
      <c r="BP4" s="17" t="b">
        <f>IFERROR(IF(AND(VLOOKUP(BP6,$NW$21:$NX$27,2,0)="Yes",NOT(ISNUMBER(VLOOKUP(DATE($A$2,$A$3+$A$1-1,BP5),HolidayList[Date],1,0)))),TRUE,FALSE),FALSE)</f>
        <v>0</v>
      </c>
      <c r="BQ4" s="17" t="b">
        <f>IFERROR(IF(AND(VLOOKUP(BQ6,$NW$21:$NX$27,2,0)="Yes",NOT(ISNUMBER(VLOOKUP(DATE($A$2,$A$3+$A$1-1,BQ5),HolidayList[Date],1,0)))),TRUE,FALSE),FALSE)</f>
        <v>0</v>
      </c>
      <c r="BR4" s="17" t="b">
        <f>IFERROR(IF(AND(VLOOKUP(BR6,$NW$21:$NX$27,2,0)="Yes",NOT(ISNUMBER(VLOOKUP(DATE($A$2,$A$3+$A$1-1,BR5),HolidayList[Date],1,0)))),TRUE,FALSE),FALSE)</f>
        <v>0</v>
      </c>
      <c r="BS4" s="17" t="b">
        <f>IFERROR(IF(AND(VLOOKUP(BS6,$NW$21:$NX$27,2,0)="Yes",NOT(ISNUMBER(VLOOKUP(DATE($A$2,$A$3+$A$1-1,BS5),HolidayList[Date],1,0)))),TRUE,FALSE),FALSE)</f>
        <v>0</v>
      </c>
      <c r="BT4" s="17" t="b">
        <f>IFERROR(IF(AND(VLOOKUP(BT6,$NW$21:$NX$27,2,0)="Yes",NOT(ISNUMBER(VLOOKUP(DATE($A$2,$A$3+$A$1-1,BT5),HolidayList[Date],1,0)))),TRUE,FALSE),FALSE)</f>
        <v>0</v>
      </c>
      <c r="BU4" s="17" t="b">
        <f>IFERROR(IF(AND(VLOOKUP(BU6,$NW$21:$NX$27,2,0)="Yes",NOT(ISNUMBER(VLOOKUP(DATE($A$2,$A$3+$A$1-1,BU5),HolidayList[Date],1,0)))),TRUE,FALSE),FALSE)</f>
        <v>0</v>
      </c>
      <c r="BV4" s="17" t="b">
        <f>IFERROR(IF(AND(VLOOKUP(BV6,$NW$21:$NX$27,2,0)="Yes",NOT(ISNUMBER(VLOOKUP(DATE($A$2,$A$3+$A$1-1,BV5),HolidayList[Date],1,0)))),TRUE,FALSE),FALSE)</f>
        <v>0</v>
      </c>
      <c r="BW4" s="17" t="b">
        <f>IFERROR(IF(AND(VLOOKUP(BW6,$NW$21:$NX$27,2,0)="Yes",NOT(ISNUMBER(VLOOKUP(DATE($A$2,$A$3+$A$1-1,BW5),HolidayList[Date],1,0)))),TRUE,FALSE),FALSE)</f>
        <v>0</v>
      </c>
      <c r="BX4" s="17" t="b">
        <f>IFERROR(IF(AND(VLOOKUP(BX6,$NW$21:$NX$27,2,0)="Yes",NOT(ISNUMBER(VLOOKUP(DATE($A$2,$A$3+$A$1-1,BX5),HolidayList[Date],1,0)))),TRUE,FALSE),FALSE)</f>
        <v>0</v>
      </c>
      <c r="BY4" s="17" t="b">
        <f>IFERROR(IF(AND(VLOOKUP(BY6,$NW$21:$NX$27,2,0)="Yes",NOT(ISNUMBER(VLOOKUP(DATE($A$2,$A$3+$A$1-1,BY5),HolidayList[Date],1,0)))),TRUE,FALSE),FALSE)</f>
        <v>0</v>
      </c>
      <c r="BZ4" s="17" t="b">
        <f>IFERROR(IF(AND(VLOOKUP(BZ6,$NW$21:$NX$27,2,0)="Yes",NOT(ISNUMBER(VLOOKUP(DATE($A$2,$A$3+$A$1-1,BZ5),HolidayList[Date],1,0)))),TRUE,FALSE),FALSE)</f>
        <v>0</v>
      </c>
      <c r="CA4" s="17" t="b">
        <f>IFERROR(IF(AND(VLOOKUP(CA6,$NW$21:$NX$27,2,0)="Yes",NOT(ISNUMBER(VLOOKUP(DATE($A$2,$A$3+$A$1-1,CA5),HolidayList[Date],1,0)))),TRUE,FALSE),FALSE)</f>
        <v>0</v>
      </c>
      <c r="CB4" s="17" t="b">
        <f>IFERROR(IF(AND(VLOOKUP(CB6,$NW$21:$NX$27,2,0)="Yes",NOT(ISNUMBER(VLOOKUP(DATE($A$2,$A$3+$A$1-1,CB5),HolidayList[Date],1,0)))),TRUE,FALSE),FALSE)</f>
        <v>0</v>
      </c>
      <c r="CC4" s="17" t="b">
        <f>IFERROR(IF(AND(VLOOKUP(CC6,$NW$21:$NX$27,2,0)="Yes",NOT(ISNUMBER(VLOOKUP(DATE($A$2,$A$3+$A$1-1,CC5),HolidayList[Date],1,0)))),TRUE,FALSE),FALSE)</f>
        <v>0</v>
      </c>
      <c r="CD4" s="17" t="b">
        <f>IFERROR(IF(AND(VLOOKUP(CD6,$NW$21:$NX$27,2,0)="Yes",NOT(ISNUMBER(VLOOKUP(DATE($A$2,$A$3+$A$1-1,CD5),HolidayList[Date],1,0)))),TRUE,FALSE),FALSE)</f>
        <v>0</v>
      </c>
      <c r="CE4" s="17" t="b">
        <f>IFERROR(IF(AND(VLOOKUP(CE6,$NW$21:$NX$27,2,0)="Yes",NOT(ISNUMBER(VLOOKUP(DATE($A$2,$A$3+$A$1-1,CE5),HolidayList[Date],1,0)))),TRUE,FALSE),FALSE)</f>
        <v>0</v>
      </c>
      <c r="CF4" s="17" t="b">
        <f>IFERROR(IF(AND(VLOOKUP(CF6,$NW$21:$NX$27,2,0)="Yes",NOT(ISNUMBER(VLOOKUP(DATE($A$2,$A$3+$A$1-1,CF5),HolidayList[Date],1,0)))),TRUE,FALSE),FALSE)</f>
        <v>0</v>
      </c>
      <c r="CG4" s="17" t="b">
        <f>IFERROR(IF(AND(VLOOKUP(CG6,$NW$21:$NX$27,2,0)="Yes",NOT(ISNUMBER(VLOOKUP(DATE($A$2,$A$3+$A$1-1,CG5),HolidayList[Date],1,0)))),TRUE,FALSE),FALSE)</f>
        <v>0</v>
      </c>
      <c r="CH4" s="17" t="b">
        <f>IFERROR(IF(AND(VLOOKUP(CH6,$NW$21:$NX$27,2,0)="Yes",NOT(ISNUMBER(VLOOKUP(DATE($A$2,$A$3+$A$1-1,CH5),HolidayList[Date],1,0)))),TRUE,FALSE),FALSE)</f>
        <v>0</v>
      </c>
      <c r="CI4" s="17" t="b">
        <f>IFERROR(IF(AND(VLOOKUP(CI6,$NW$21:$NX$27,2,0)="Yes",NOT(ISNUMBER(VLOOKUP(DATE($A$2,$A$3+$A$1-1,CI5),HolidayList[Date],1,0)))),TRUE,FALSE),FALSE)</f>
        <v>0</v>
      </c>
      <c r="CJ4" s="17" t="b">
        <f>IFERROR(IF(AND(VLOOKUP(CJ6,$NW$21:$NX$27,2,0)="Yes",NOT(ISNUMBER(VLOOKUP(DATE($A$2,$A$3+$A$1-1,CJ5),HolidayList[Date],1,0)))),TRUE,FALSE),FALSE)</f>
        <v>0</v>
      </c>
      <c r="CK4" s="17" t="b">
        <f>IFERROR(IF(AND(VLOOKUP(CK6,$NW$21:$NX$27,2,0)="Yes",NOT(ISNUMBER(VLOOKUP(DATE($A$2,$A$3+$A$1-1,CK5),HolidayList[Date],1,0)))),TRUE,FALSE),FALSE)</f>
        <v>0</v>
      </c>
      <c r="CL4" s="17" t="b">
        <f>IFERROR(IF(AND(VLOOKUP(CL6,$NW$21:$NX$27,2,0)="Yes",NOT(ISNUMBER(VLOOKUP(DATE($A$2,$A$3+$A$1-1,CL5),HolidayList[Date],1,0)))),TRUE,FALSE),FALSE)</f>
        <v>0</v>
      </c>
      <c r="CM4" s="17" t="b">
        <f>IFERROR(IF(AND(VLOOKUP(CM6,$NW$21:$NX$27,2,0)="Yes",NOT(ISNUMBER(VLOOKUP(DATE($A$2,$A$3+$A$1-1,CM5),HolidayList[Date],1,0)))),TRUE,FALSE),FALSE)</f>
        <v>0</v>
      </c>
      <c r="CN4" s="17" t="b">
        <f>IFERROR(IF(AND(VLOOKUP(CN6,$NW$21:$NX$27,2,0)="Yes",NOT(ISNUMBER(VLOOKUP(DATE($A$2,$A$3+$A$1-1,CN5),HolidayList[Date],1,0)))),TRUE,FALSE),FALSE)</f>
        <v>0</v>
      </c>
      <c r="CO4" s="17" t="b">
        <f>IFERROR(IF(AND(VLOOKUP(CO6,$NW$21:$NX$27,2,0)="Yes",NOT(ISNUMBER(VLOOKUP(DATE($A$2,$A$3+$A$1-1,CO5),HolidayList[Date],1,0)))),TRUE,FALSE),FALSE)</f>
        <v>0</v>
      </c>
      <c r="CP4" s="17" t="b">
        <f>IFERROR(IF(AND(VLOOKUP(CP6,$NW$21:$NX$27,2,0)="Yes",NOT(ISNUMBER(VLOOKUP(DATE($A$2,$A$3+$A$1-1,CP5),HolidayList[Date],1,0)))),TRUE,FALSE),FALSE)</f>
        <v>0</v>
      </c>
      <c r="CQ4" s="17" t="b">
        <f>IFERROR(IF(AND(VLOOKUP(CQ6,$NW$21:$NX$27,2,0)="Yes",NOT(ISNUMBER(VLOOKUP(DATE($A$2,$A$3+$A$1-1,CQ5),HolidayList[Date],1,0)))),TRUE,FALSE),FALSE)</f>
        <v>0</v>
      </c>
      <c r="CR4" s="17" t="b">
        <f>IFERROR(IF(AND(VLOOKUP(CR6,$NW$21:$NX$27,2,0)="Yes",NOT(ISNUMBER(VLOOKUP(DATE($A$2,$A$3+$A$1-1,CR5),HolidayList[Date],1,0)))),TRUE,FALSE),FALSE)</f>
        <v>0</v>
      </c>
      <c r="CS4" s="17" t="b">
        <f>IFERROR(IF(AND(VLOOKUP(CS6,$NW$21:$NX$27,2,0)="Yes",NOT(ISNUMBER(VLOOKUP(DATE($A$2,$A$3+$A$1-1,CS5),HolidayList[Date],1,0)))),TRUE,FALSE),FALSE)</f>
        <v>0</v>
      </c>
      <c r="CT4" s="17" t="b">
        <f>IFERROR(IF(AND(VLOOKUP(CT6,$NW$21:$NX$27,2,0)="Yes",NOT(ISNUMBER(VLOOKUP(DATE($A$2,$A$3+$A$1-1,CT5),HolidayList[Date],1,0)))),TRUE,FALSE),FALSE)</f>
        <v>0</v>
      </c>
      <c r="CU4" s="17" t="b">
        <f>IFERROR(IF(AND(VLOOKUP(CU6,$NW$21:$NX$27,2,0)="Yes",NOT(ISNUMBER(VLOOKUP(DATE($A$2,$A$3+$A$1-1,CU5),HolidayList[Date],1,0)))),TRUE,FALSE),FALSE)</f>
        <v>0</v>
      </c>
      <c r="CV4" s="17" t="b">
        <f>IFERROR(IF(AND(VLOOKUP(CV6,$NW$21:$NX$27,2,0)="Yes",NOT(ISNUMBER(VLOOKUP(DATE($A$2,$A$3+$A$1-1,CV5),HolidayList[Date],1,0)))),TRUE,FALSE),FALSE)</f>
        <v>0</v>
      </c>
      <c r="CW4" s="17" t="b">
        <f>IFERROR(IF(AND(VLOOKUP(CW6,$NW$21:$NX$27,2,0)="Yes",NOT(ISNUMBER(VLOOKUP(DATE($A$2,$A$3+$A$1-1,CW5),HolidayList[Date],1,0)))),TRUE,FALSE),FALSE)</f>
        <v>0</v>
      </c>
      <c r="CX4" s="17" t="b">
        <f>IFERROR(IF(AND(VLOOKUP(CX6,$NW$21:$NX$27,2,0)="Yes",NOT(ISNUMBER(VLOOKUP(DATE($A$2,$A$3+$A$1-1,CX5),HolidayList[Date],1,0)))),TRUE,FALSE),FALSE)</f>
        <v>0</v>
      </c>
      <c r="CY4" s="17" t="b">
        <f>IFERROR(IF(AND(VLOOKUP(CY6,$NW$21:$NX$27,2,0)="Yes",NOT(ISNUMBER(VLOOKUP(DATE($A$2,$A$3+$A$1-1,CY5),HolidayList[Date],1,0)))),TRUE,FALSE),FALSE)</f>
        <v>0</v>
      </c>
      <c r="CZ4" s="17" t="b">
        <f>IFERROR(IF(AND(VLOOKUP(CZ6,$NW$21:$NX$27,2,0)="Yes",NOT(ISNUMBER(VLOOKUP(DATE($A$2,$A$3+$A$1-1,CZ5),HolidayList[Date],1,0)))),TRUE,FALSE),FALSE)</f>
        <v>0</v>
      </c>
      <c r="DA4" s="17" t="b">
        <f>IFERROR(IF(AND(VLOOKUP(DA6,$NW$21:$NX$27,2,0)="Yes",NOT(ISNUMBER(VLOOKUP(DATE($A$2,$A$3+$A$1-1,DA5),HolidayList[Date],1,0)))),TRUE,FALSE),FALSE)</f>
        <v>0</v>
      </c>
      <c r="DB4" s="17" t="b">
        <f>IFERROR(IF(AND(VLOOKUP(DB6,$NW$21:$NX$27,2,0)="Yes",NOT(ISNUMBER(VLOOKUP(DATE($A$2,$A$3+$A$1-1,DB5),HolidayList[Date],1,0)))),TRUE,FALSE),FALSE)</f>
        <v>0</v>
      </c>
      <c r="DC4" s="17" t="b">
        <f>IFERROR(IF(AND(VLOOKUP(DC6,$NW$21:$NX$27,2,0)="Yes",NOT(ISNUMBER(VLOOKUP(DATE($A$2,$A$3+$A$1-1,DC5),HolidayList[Date],1,0)))),TRUE,FALSE),FALSE)</f>
        <v>0</v>
      </c>
      <c r="DD4" s="17" t="b">
        <f>IFERROR(IF(AND(VLOOKUP(DD6,$NW$21:$NX$27,2,0)="Yes",NOT(ISNUMBER(VLOOKUP(DATE($A$2,$A$3+$A$1-1,DD5),HolidayList[Date],1,0)))),TRUE,FALSE),FALSE)</f>
        <v>0</v>
      </c>
      <c r="DE4" s="17" t="b">
        <f>IFERROR(IF(AND(VLOOKUP(DE6,$NW$21:$NX$27,2,0)="Yes",NOT(ISNUMBER(VLOOKUP(DATE($A$2,$A$3+$A$1-1,DE5),HolidayList[Date],1,0)))),TRUE,FALSE),FALSE)</f>
        <v>0</v>
      </c>
      <c r="DF4" s="17" t="b">
        <f>IFERROR(IF(AND(VLOOKUP(DF6,$NW$21:$NX$27,2,0)="Yes",NOT(ISNUMBER(VLOOKUP(DATE($A$2,$A$3+$A$1-1,DF5),HolidayList[Date],1,0)))),TRUE,FALSE),FALSE)</f>
        <v>0</v>
      </c>
      <c r="DG4" s="17" t="b">
        <f>IFERROR(IF(AND(VLOOKUP(DG6,$NW$21:$NX$27,2,0)="Yes",NOT(ISNUMBER(VLOOKUP(DATE($A$2,$A$3+$A$1-1,DG5),HolidayList[Date],1,0)))),TRUE,FALSE),FALSE)</f>
        <v>0</v>
      </c>
      <c r="DH4" s="17" t="b">
        <f>IFERROR(IF(AND(VLOOKUP(DH6,$NW$21:$NX$27,2,0)="Yes",NOT(ISNUMBER(VLOOKUP(DATE($A$2,$A$3+$A$1-1,DH5),HolidayList[Date],1,0)))),TRUE,FALSE),FALSE)</f>
        <v>0</v>
      </c>
      <c r="DI4" s="17" t="b">
        <f>IFERROR(IF(AND(VLOOKUP(DI6,$NW$21:$NX$27,2,0)="Yes",NOT(ISNUMBER(VLOOKUP(DATE($A$2,$A$3+$A$1-1,DI5),HolidayList[Date],1,0)))),TRUE,FALSE),FALSE)</f>
        <v>0</v>
      </c>
      <c r="DJ4" s="17" t="b">
        <f>IFERROR(IF(AND(VLOOKUP(DJ6,$NW$21:$NX$27,2,0)="Yes",NOT(ISNUMBER(VLOOKUP(DATE($A$2,$A$3+$A$1-1,DJ5),HolidayList[Date],1,0)))),TRUE,FALSE),FALSE)</f>
        <v>0</v>
      </c>
      <c r="DK4" s="17" t="b">
        <f>IFERROR(IF(AND(VLOOKUP(DK6,$NW$21:$NX$27,2,0)="Yes",NOT(ISNUMBER(VLOOKUP(DATE($A$2,$A$3+$A$1-1,DK5),HolidayList[Date],1,0)))),TRUE,FALSE),FALSE)</f>
        <v>0</v>
      </c>
      <c r="DL4" s="17" t="b">
        <f>IFERROR(IF(AND(VLOOKUP(DL6,$NW$21:$NX$27,2,0)="Yes",NOT(ISNUMBER(VLOOKUP(DATE($A$2,$A$3+$A$1-1,DL5),HolidayList[Date],1,0)))),TRUE,FALSE),FALSE)</f>
        <v>0</v>
      </c>
      <c r="DM4" s="17" t="b">
        <f>IFERROR(IF(AND(VLOOKUP(DM6,$NW$21:$NX$27,2,0)="Yes",NOT(ISNUMBER(VLOOKUP(DATE($A$2,$A$3+$A$1-1,DM5),HolidayList[Date],1,0)))),TRUE,FALSE),FALSE)</f>
        <v>0</v>
      </c>
      <c r="DN4" s="17" t="b">
        <f>IFERROR(IF(AND(VLOOKUP(DN6,$NW$21:$NX$27,2,0)="Yes",NOT(ISNUMBER(VLOOKUP(DATE($A$2,$A$3+$A$1-1,DN5),HolidayList[Date],1,0)))),TRUE,FALSE),FALSE)</f>
        <v>0</v>
      </c>
      <c r="DO4" s="17" t="b">
        <f>IFERROR(IF(AND(VLOOKUP(DO6,$NW$21:$NX$27,2,0)="Yes",NOT(ISNUMBER(VLOOKUP(DATE($A$2,$A$3+$A$1-1,DO5),HolidayList[Date],1,0)))),TRUE,FALSE),FALSE)</f>
        <v>0</v>
      </c>
      <c r="DP4" s="17" t="b">
        <f>IFERROR(IF(AND(VLOOKUP(DP6,$NW$21:$NX$27,2,0)="Yes",NOT(ISNUMBER(VLOOKUP(DATE($A$2,$A$3+$A$1-1,DP5),HolidayList[Date],1,0)))),TRUE,FALSE),FALSE)</f>
        <v>0</v>
      </c>
      <c r="DQ4" s="17" t="b">
        <f>IFERROR(IF(AND(VLOOKUP(DQ6,$NW$21:$NX$27,2,0)="Yes",NOT(ISNUMBER(VLOOKUP(DATE($A$2,$A$3+$A$1-1,DQ5),HolidayList[Date],1,0)))),TRUE,FALSE),FALSE)</f>
        <v>0</v>
      </c>
      <c r="DR4" s="17" t="b">
        <f>IFERROR(IF(AND(VLOOKUP(DR6,$NW$21:$NX$27,2,0)="Yes",NOT(ISNUMBER(VLOOKUP(DATE($A$2,$A$3+$A$1-1,DR5),HolidayList[Date],1,0)))),TRUE,FALSE),FALSE)</f>
        <v>0</v>
      </c>
      <c r="DS4" s="17" t="b">
        <f>IFERROR(IF(AND(VLOOKUP(DS6,$NW$21:$NX$27,2,0)="Yes",NOT(ISNUMBER(VLOOKUP(DATE($A$2,$A$3+$A$1-1,DS5),HolidayList[Date],1,0)))),TRUE,FALSE),FALSE)</f>
        <v>0</v>
      </c>
      <c r="DT4" s="17" t="b">
        <f>IFERROR(IF(AND(VLOOKUP(DT6,$NW$21:$NX$27,2,0)="Yes",NOT(ISNUMBER(VLOOKUP(DATE($A$2,$A$3+$A$1-1,DT5),HolidayList[Date],1,0)))),TRUE,FALSE),FALSE)</f>
        <v>0</v>
      </c>
      <c r="DU4" s="17" t="b">
        <f>IFERROR(IF(AND(VLOOKUP(DU6,$NW$21:$NX$27,2,0)="Yes",NOT(ISNUMBER(VLOOKUP(DATE($A$2,$A$3+$A$1-1,DU5),HolidayList[Date],1,0)))),TRUE,FALSE),FALSE)</f>
        <v>0</v>
      </c>
      <c r="DV4" s="17" t="b">
        <f>IFERROR(IF(AND(VLOOKUP(DV6,$NW$21:$NX$27,2,0)="Yes",NOT(ISNUMBER(VLOOKUP(DATE($A$2,$A$3+$A$1-1,DV5),HolidayList[Date],1,0)))),TRUE,FALSE),FALSE)</f>
        <v>0</v>
      </c>
      <c r="DW4" s="17" t="b">
        <f>IFERROR(IF(AND(VLOOKUP(DW6,$NW$21:$NX$27,2,0)="Yes",NOT(ISNUMBER(VLOOKUP(DATE($A$2,$A$3+$A$1-1,DW5),HolidayList[Date],1,0)))),TRUE,FALSE),FALSE)</f>
        <v>0</v>
      </c>
      <c r="DX4" s="17" t="b">
        <f>IFERROR(IF(AND(VLOOKUP(DX6,$NW$21:$NX$27,2,0)="Yes",NOT(ISNUMBER(VLOOKUP(DATE($A$2,$A$3+$A$1-1,DX5),HolidayList[Date],1,0)))),TRUE,FALSE),FALSE)</f>
        <v>0</v>
      </c>
      <c r="DY4" s="17" t="b">
        <f>IFERROR(IF(AND(VLOOKUP(DY6,$NW$21:$NX$27,2,0)="Yes",NOT(ISNUMBER(VLOOKUP(DATE($A$2,$A$3+$A$1-1,DY5),HolidayList[Date],1,0)))),TRUE,FALSE),FALSE)</f>
        <v>0</v>
      </c>
      <c r="DZ4" s="17" t="b">
        <f>IFERROR(IF(AND(VLOOKUP(DZ6,$NW$21:$NX$27,2,0)="Yes",NOT(ISNUMBER(VLOOKUP(DATE($A$2,$A$3+$A$1-1,DZ5),HolidayList[Date],1,0)))),TRUE,FALSE),FALSE)</f>
        <v>0</v>
      </c>
      <c r="EA4" s="17" t="b">
        <f>IFERROR(IF(AND(VLOOKUP(EA6,$NW$21:$NX$27,2,0)="Yes",NOT(ISNUMBER(VLOOKUP(DATE($A$2,$A$3+$A$1-1,EA5),HolidayList[Date],1,0)))),TRUE,FALSE),FALSE)</f>
        <v>0</v>
      </c>
      <c r="EB4" s="17" t="b">
        <f>IFERROR(IF(AND(VLOOKUP(EB6,$NW$21:$NX$27,2,0)="Yes",NOT(ISNUMBER(VLOOKUP(DATE($A$2,$A$3+$A$1-1,EB5),HolidayList[Date],1,0)))),TRUE,FALSE),FALSE)</f>
        <v>0</v>
      </c>
      <c r="EC4" s="17" t="b">
        <f>IFERROR(IF(AND(VLOOKUP(EC6,$NW$21:$NX$27,2,0)="Yes",NOT(ISNUMBER(VLOOKUP(DATE($A$2,$A$3+$A$1-1,EC5),HolidayList[Date],1,0)))),TRUE,FALSE),FALSE)</f>
        <v>0</v>
      </c>
      <c r="ED4" s="17" t="b">
        <f>IFERROR(IF(AND(VLOOKUP(ED6,$NW$21:$NX$27,2,0)="Yes",NOT(ISNUMBER(VLOOKUP(DATE($A$2,$A$3+$A$1-1,ED5),HolidayList[Date],1,0)))),TRUE,FALSE),FALSE)</f>
        <v>0</v>
      </c>
      <c r="EE4" s="17" t="b">
        <f>IFERROR(IF(AND(VLOOKUP(EE6,$NW$21:$NX$27,2,0)="Yes",NOT(ISNUMBER(VLOOKUP(DATE($A$2,$A$3+$A$1-1,EE5),HolidayList[Date],1,0)))),TRUE,FALSE),FALSE)</f>
        <v>0</v>
      </c>
      <c r="EF4" s="17" t="b">
        <f>IFERROR(IF(AND(VLOOKUP(EF6,$NW$21:$NX$27,2,0)="Yes",NOT(ISNUMBER(VLOOKUP(DATE($A$2,$A$3+$A$1-1,EF5),HolidayList[Date],1,0)))),TRUE,FALSE),FALSE)</f>
        <v>0</v>
      </c>
      <c r="EG4" s="17" t="b">
        <f>IFERROR(IF(AND(VLOOKUP(EG6,$NW$21:$NX$27,2,0)="Yes",NOT(ISNUMBER(VLOOKUP(DATE($A$2,$A$3+$A$1-1,EG5),HolidayList[Date],1,0)))),TRUE,FALSE),FALSE)</f>
        <v>0</v>
      </c>
      <c r="EH4" s="17" t="b">
        <f>IFERROR(IF(AND(VLOOKUP(EH6,$NW$21:$NX$27,2,0)="Yes",NOT(ISNUMBER(VLOOKUP(DATE($A$2,$A$3+$A$1-1,EH5),HolidayList[Date],1,0)))),TRUE,FALSE),FALSE)</f>
        <v>0</v>
      </c>
      <c r="EI4" s="17" t="b">
        <f>IFERROR(IF(AND(VLOOKUP(EI6,$NW$21:$NX$27,2,0)="Yes",NOT(ISNUMBER(VLOOKUP(DATE($A$2,$A$3+$A$1-1,EI5),HolidayList[Date],1,0)))),TRUE,FALSE),FALSE)</f>
        <v>0</v>
      </c>
      <c r="EJ4" s="17" t="b">
        <f>IFERROR(IF(AND(VLOOKUP(EJ6,$NW$21:$NX$27,2,0)="Yes",NOT(ISNUMBER(VLOOKUP(DATE($A$2,$A$3+$A$1-1,EJ5),HolidayList[Date],1,0)))),TRUE,FALSE),FALSE)</f>
        <v>0</v>
      </c>
      <c r="EK4" s="17" t="b">
        <f>IFERROR(IF(AND(VLOOKUP(EK6,$NW$21:$NX$27,2,0)="Yes",NOT(ISNUMBER(VLOOKUP(DATE($A$2,$A$3+$A$1-1,EK5),HolidayList[Date],1,0)))),TRUE,FALSE),FALSE)</f>
        <v>0</v>
      </c>
      <c r="EL4" s="17" t="b">
        <f>IFERROR(IF(AND(VLOOKUP(EL6,$NW$21:$NX$27,2,0)="Yes",NOT(ISNUMBER(VLOOKUP(DATE($A$2,$A$3+$A$1-1,EL5),HolidayList[Date],1,0)))),TRUE,FALSE),FALSE)</f>
        <v>0</v>
      </c>
      <c r="EM4" s="17" t="b">
        <f>IFERROR(IF(AND(VLOOKUP(EM6,$NW$21:$NX$27,2,0)="Yes",NOT(ISNUMBER(VLOOKUP(DATE($A$2,$A$3+$A$1-1,EM5),HolidayList[Date],1,0)))),TRUE,FALSE),FALSE)</f>
        <v>0</v>
      </c>
      <c r="EN4" s="17" t="b">
        <f>IFERROR(IF(AND(VLOOKUP(EN6,$NW$21:$NX$27,2,0)="Yes",NOT(ISNUMBER(VLOOKUP(DATE($A$2,$A$3+$A$1-1,EN5),HolidayList[Date],1,0)))),TRUE,FALSE),FALSE)</f>
        <v>0</v>
      </c>
      <c r="EO4" s="17" t="b">
        <f>IFERROR(IF(AND(VLOOKUP(EO6,$NW$21:$NX$27,2,0)="Yes",NOT(ISNUMBER(VLOOKUP(DATE($A$2,$A$3+$A$1-1,EO5),HolidayList[Date],1,0)))),TRUE,FALSE),FALSE)</f>
        <v>0</v>
      </c>
      <c r="EP4" s="17" t="b">
        <f>IFERROR(IF(AND(VLOOKUP(EP6,$NW$21:$NX$27,2,0)="Yes",NOT(ISNUMBER(VLOOKUP(DATE($A$2,$A$3+$A$1-1,EP5),HolidayList[Date],1,0)))),TRUE,FALSE),FALSE)</f>
        <v>0</v>
      </c>
      <c r="EQ4" s="17" t="b">
        <f>IFERROR(IF(AND(VLOOKUP(EQ6,$NW$21:$NX$27,2,0)="Yes",NOT(ISNUMBER(VLOOKUP(DATE($A$2,$A$3+$A$1-1,EQ5),HolidayList[Date],1,0)))),TRUE,FALSE),FALSE)</f>
        <v>0</v>
      </c>
      <c r="ER4" s="17" t="b">
        <f>IFERROR(IF(AND(VLOOKUP(ER6,$NW$21:$NX$27,2,0)="Yes",NOT(ISNUMBER(VLOOKUP(DATE($A$2,$A$3+$A$1-1,ER5),HolidayList[Date],1,0)))),TRUE,FALSE),FALSE)</f>
        <v>0</v>
      </c>
      <c r="ES4" s="17" t="b">
        <f>IFERROR(IF(AND(VLOOKUP(ES6,$NW$21:$NX$27,2,0)="Yes",NOT(ISNUMBER(VLOOKUP(DATE($A$2,$A$3+$A$1-1,ES5),HolidayList[Date],1,0)))),TRUE,FALSE),FALSE)</f>
        <v>0</v>
      </c>
      <c r="ET4" s="17" t="b">
        <f>IFERROR(IF(AND(VLOOKUP(ET6,$NW$21:$NX$27,2,0)="Yes",NOT(ISNUMBER(VLOOKUP(DATE($A$2,$A$3+$A$1-1,ET5),HolidayList[Date],1,0)))),TRUE,FALSE),FALSE)</f>
        <v>0</v>
      </c>
      <c r="EU4" s="17" t="b">
        <f>IFERROR(IF(AND(VLOOKUP(EU6,$NW$21:$NX$27,2,0)="Yes",NOT(ISNUMBER(VLOOKUP(DATE($A$2,$A$3+$A$1-1,EU5),HolidayList[Date],1,0)))),TRUE,FALSE),FALSE)</f>
        <v>0</v>
      </c>
      <c r="EV4" s="17" t="b">
        <f>IFERROR(IF(AND(VLOOKUP(EV6,$NW$21:$NX$27,2,0)="Yes",NOT(ISNUMBER(VLOOKUP(DATE($A$2,$A$3+$A$1-1,EV5),HolidayList[Date],1,0)))),TRUE,FALSE),FALSE)</f>
        <v>0</v>
      </c>
      <c r="EW4" s="17" t="b">
        <f>IFERROR(IF(AND(VLOOKUP(EW6,$NW$21:$NX$27,2,0)="Yes",NOT(ISNUMBER(VLOOKUP(DATE($A$2,$A$3+$A$1-1,EW5),HolidayList[Date],1,0)))),TRUE,FALSE),FALSE)</f>
        <v>0</v>
      </c>
      <c r="EX4" s="17" t="b">
        <f>IFERROR(IF(AND(VLOOKUP(EX6,$NW$21:$NX$27,2,0)="Yes",NOT(ISNUMBER(VLOOKUP(DATE($A$2,$A$3+$A$1-1,EX5),HolidayList[Date],1,0)))),TRUE,FALSE),FALSE)</f>
        <v>0</v>
      </c>
      <c r="EY4" s="17" t="b">
        <f>IFERROR(IF(AND(VLOOKUP(EY6,$NW$21:$NX$27,2,0)="Yes",NOT(ISNUMBER(VLOOKUP(DATE($A$2,$A$3+$A$1-1,EY5),HolidayList[Date],1,0)))),TRUE,FALSE),FALSE)</f>
        <v>0</v>
      </c>
      <c r="EZ4" s="17" t="b">
        <f>IFERROR(IF(AND(VLOOKUP(EZ6,$NW$21:$NX$27,2,0)="Yes",NOT(ISNUMBER(VLOOKUP(DATE($A$2,$A$3+$A$1-1,EZ5),HolidayList[Date],1,0)))),TRUE,FALSE),FALSE)</f>
        <v>0</v>
      </c>
      <c r="FA4" s="17" t="b">
        <f>IFERROR(IF(AND(VLOOKUP(FA6,$NW$21:$NX$27,2,0)="Yes",NOT(ISNUMBER(VLOOKUP(DATE($A$2,$A$3+$A$1-1,FA5),HolidayList[Date],1,0)))),TRUE,FALSE),FALSE)</f>
        <v>0</v>
      </c>
      <c r="FB4" s="17" t="b">
        <f>IFERROR(IF(AND(VLOOKUP(FB6,$NW$21:$NX$27,2,0)="Yes",NOT(ISNUMBER(VLOOKUP(DATE($A$2,$A$3+$A$1-1,FB5),HolidayList[Date],1,0)))),TRUE,FALSE),FALSE)</f>
        <v>0</v>
      </c>
      <c r="FC4" s="17" t="b">
        <f>IFERROR(IF(AND(VLOOKUP(FC6,$NW$21:$NX$27,2,0)="Yes",NOT(ISNUMBER(VLOOKUP(DATE($A$2,$A$3+$A$1-1,FC5),HolidayList[Date],1,0)))),TRUE,FALSE),FALSE)</f>
        <v>0</v>
      </c>
      <c r="FD4" s="17" t="b">
        <f>IFERROR(IF(AND(VLOOKUP(FD6,$NW$21:$NX$27,2,0)="Yes",NOT(ISNUMBER(VLOOKUP(DATE($A$2,$A$3+$A$1-1,FD5),HolidayList[Date],1,0)))),TRUE,FALSE),FALSE)</f>
        <v>0</v>
      </c>
      <c r="FE4" s="17" t="b">
        <f>IFERROR(IF(AND(VLOOKUP(FE6,$NW$21:$NX$27,2,0)="Yes",NOT(ISNUMBER(VLOOKUP(DATE($A$2,$A$3+$A$1-1,FE5),HolidayList[Date],1,0)))),TRUE,FALSE),FALSE)</f>
        <v>0</v>
      </c>
      <c r="FF4" s="17" t="b">
        <f>IFERROR(IF(AND(VLOOKUP(FF6,$NW$21:$NX$27,2,0)="Yes",NOT(ISNUMBER(VLOOKUP(DATE($A$2,$A$3+$A$1-1,FF5),HolidayList[Date],1,0)))),TRUE,FALSE),FALSE)</f>
        <v>0</v>
      </c>
      <c r="FG4" s="17" t="b">
        <f>IFERROR(IF(AND(VLOOKUP(FG6,$NW$21:$NX$27,2,0)="Yes",NOT(ISNUMBER(VLOOKUP(DATE($A$2,$A$3+$A$1-1,FG5),HolidayList[Date],1,0)))),TRUE,FALSE),FALSE)</f>
        <v>0</v>
      </c>
      <c r="FH4" s="17" t="b">
        <f>IFERROR(IF(AND(VLOOKUP(FH6,$NW$21:$NX$27,2,0)="Yes",NOT(ISNUMBER(VLOOKUP(DATE($A$2,$A$3+$A$1-1,FH5),HolidayList[Date],1,0)))),TRUE,FALSE),FALSE)</f>
        <v>0</v>
      </c>
      <c r="FI4" s="17" t="b">
        <f>IFERROR(IF(AND(VLOOKUP(FI6,$NW$21:$NX$27,2,0)="Yes",NOT(ISNUMBER(VLOOKUP(DATE($A$2,$A$3+$A$1-1,FI5),HolidayList[Date],1,0)))),TRUE,FALSE),FALSE)</f>
        <v>0</v>
      </c>
      <c r="FJ4" s="17" t="b">
        <f>IFERROR(IF(AND(VLOOKUP(FJ6,$NW$21:$NX$27,2,0)="Yes",NOT(ISNUMBER(VLOOKUP(DATE($A$2,$A$3+$A$1-1,FJ5),HolidayList[Date],1,0)))),TRUE,FALSE),FALSE)</f>
        <v>0</v>
      </c>
      <c r="FK4" s="17" t="b">
        <f>IFERROR(IF(AND(VLOOKUP(FK6,$NW$21:$NX$27,2,0)="Yes",NOT(ISNUMBER(VLOOKUP(DATE($A$2,$A$3+$A$1-1,FK5),HolidayList[Date],1,0)))),TRUE,FALSE),FALSE)</f>
        <v>0</v>
      </c>
      <c r="FL4" s="17" t="b">
        <f>IFERROR(IF(AND(VLOOKUP(FL6,$NW$21:$NX$27,2,0)="Yes",NOT(ISNUMBER(VLOOKUP(DATE($A$2,$A$3+$A$1-1,FL5),HolidayList[Date],1,0)))),TRUE,FALSE),FALSE)</f>
        <v>0</v>
      </c>
      <c r="FM4" s="17" t="b">
        <f>IFERROR(IF(AND(VLOOKUP(FM6,$NW$21:$NX$27,2,0)="Yes",NOT(ISNUMBER(VLOOKUP(DATE($A$2,$A$3+$A$1-1,FM5),HolidayList[Date],1,0)))),TRUE,FALSE),FALSE)</f>
        <v>0</v>
      </c>
      <c r="FN4" s="17" t="b">
        <f>IFERROR(IF(AND(VLOOKUP(FN6,$NW$21:$NX$27,2,0)="Yes",NOT(ISNUMBER(VLOOKUP(DATE($A$2,$A$3+$A$1-1,FN5),HolidayList[Date],1,0)))),TRUE,FALSE),FALSE)</f>
        <v>0</v>
      </c>
      <c r="FO4" s="17" t="b">
        <f>IFERROR(IF(AND(VLOOKUP(FO6,$NW$21:$NX$27,2,0)="Yes",NOT(ISNUMBER(VLOOKUP(DATE($A$2,$A$3+$A$1-1,FO5),HolidayList[Date],1,0)))),TRUE,FALSE),FALSE)</f>
        <v>0</v>
      </c>
      <c r="FP4" s="17" t="b">
        <f>IFERROR(IF(AND(VLOOKUP(FP6,$NW$21:$NX$27,2,0)="Yes",NOT(ISNUMBER(VLOOKUP(DATE($A$2,$A$3+$A$1-1,FP5),HolidayList[Date],1,0)))),TRUE,FALSE),FALSE)</f>
        <v>0</v>
      </c>
      <c r="FQ4" s="17" t="b">
        <f>IFERROR(IF(AND(VLOOKUP(FQ6,$NW$21:$NX$27,2,0)="Yes",NOT(ISNUMBER(VLOOKUP(DATE($A$2,$A$3+$A$1-1,FQ5),HolidayList[Date],1,0)))),TRUE,FALSE),FALSE)</f>
        <v>0</v>
      </c>
      <c r="FR4" s="17" t="b">
        <f>IFERROR(IF(AND(VLOOKUP(FR6,$NW$21:$NX$27,2,0)="Yes",NOT(ISNUMBER(VLOOKUP(DATE($A$2,$A$3+$A$1-1,FR5),HolidayList[Date],1,0)))),TRUE,FALSE),FALSE)</f>
        <v>0</v>
      </c>
      <c r="FS4" s="17" t="b">
        <f>IFERROR(IF(AND(VLOOKUP(FS6,$NW$21:$NX$27,2,0)="Yes",NOT(ISNUMBER(VLOOKUP(DATE($A$2,$A$3+$A$1-1,FS5),HolidayList[Date],1,0)))),TRUE,FALSE),FALSE)</f>
        <v>0</v>
      </c>
      <c r="FT4" s="17" t="b">
        <f>IFERROR(IF(AND(VLOOKUP(FT6,$NW$21:$NX$27,2,0)="Yes",NOT(ISNUMBER(VLOOKUP(DATE($A$2,$A$3+$A$1-1,FT5),HolidayList[Date],1,0)))),TRUE,FALSE),FALSE)</f>
        <v>0</v>
      </c>
      <c r="FU4" s="17" t="b">
        <f>IFERROR(IF(AND(VLOOKUP(FU6,$NW$21:$NX$27,2,0)="Yes",NOT(ISNUMBER(VLOOKUP(DATE($A$2,$A$3+$A$1-1,FU5),HolidayList[Date],1,0)))),TRUE,FALSE),FALSE)</f>
        <v>0</v>
      </c>
      <c r="FV4" s="17" t="b">
        <f>IFERROR(IF(AND(VLOOKUP(FV6,$NW$21:$NX$27,2,0)="Yes",NOT(ISNUMBER(VLOOKUP(DATE($A$2,$A$3+$A$1-1,FV5),HolidayList[Date],1,0)))),TRUE,FALSE),FALSE)</f>
        <v>0</v>
      </c>
      <c r="FW4" s="17" t="b">
        <f>IFERROR(IF(AND(VLOOKUP(FW6,$NW$21:$NX$27,2,0)="Yes",NOT(ISNUMBER(VLOOKUP(DATE($A$2,$A$3+$A$1-1,FW5),HolidayList[Date],1,0)))),TRUE,FALSE),FALSE)</f>
        <v>0</v>
      </c>
      <c r="FX4" s="17" t="b">
        <f>IFERROR(IF(AND(VLOOKUP(FX6,$NW$21:$NX$27,2,0)="Yes",NOT(ISNUMBER(VLOOKUP(DATE($A$2,$A$3+$A$1-1,FX5),HolidayList[Date],1,0)))),TRUE,FALSE),FALSE)</f>
        <v>0</v>
      </c>
      <c r="FY4" s="17" t="b">
        <f>IFERROR(IF(AND(VLOOKUP(FY6,$NW$21:$NX$27,2,0)="Yes",NOT(ISNUMBER(VLOOKUP(DATE($A$2,$A$3+$A$1-1,FY5),HolidayList[Date],1,0)))),TRUE,FALSE),FALSE)</f>
        <v>0</v>
      </c>
      <c r="FZ4" s="17" t="b">
        <f>IFERROR(IF(AND(VLOOKUP(FZ6,$NW$21:$NX$27,2,0)="Yes",NOT(ISNUMBER(VLOOKUP(DATE($A$2,$A$3+$A$1-1,FZ5),HolidayList[Date],1,0)))),TRUE,FALSE),FALSE)</f>
        <v>0</v>
      </c>
      <c r="GA4" s="17" t="b">
        <f>IFERROR(IF(AND(VLOOKUP(GA6,$NW$21:$NX$27,2,0)="Yes",NOT(ISNUMBER(VLOOKUP(DATE($A$2,$A$3+$A$1-1,GA5),HolidayList[Date],1,0)))),TRUE,FALSE),FALSE)</f>
        <v>0</v>
      </c>
      <c r="GB4" s="17" t="b">
        <f>IFERROR(IF(AND(VLOOKUP(GB6,$NW$21:$NX$27,2,0)="Yes",NOT(ISNUMBER(VLOOKUP(DATE($A$2,$A$3+$A$1-1,GB5),HolidayList[Date],1,0)))),TRUE,FALSE),FALSE)</f>
        <v>0</v>
      </c>
      <c r="GC4" s="17" t="b">
        <f>IFERROR(IF(AND(VLOOKUP(GC6,$NW$21:$NX$27,2,0)="Yes",NOT(ISNUMBER(VLOOKUP(DATE($A$2,$A$3+$A$1-1,GC5),HolidayList[Date],1,0)))),TRUE,FALSE),FALSE)</f>
        <v>0</v>
      </c>
      <c r="GD4" s="17" t="b">
        <f>IFERROR(IF(AND(VLOOKUP(GD6,$NW$21:$NX$27,2,0)="Yes",NOT(ISNUMBER(VLOOKUP(DATE($A$2,$A$3+$A$1-1,GD5),HolidayList[Date],1,0)))),TRUE,FALSE),FALSE)</f>
        <v>0</v>
      </c>
      <c r="GE4" s="17" t="b">
        <f>IFERROR(IF(AND(VLOOKUP(GE6,$NW$21:$NX$27,2,0)="Yes",NOT(ISNUMBER(VLOOKUP(DATE($A$2,$A$3+$A$1-1,GE5),HolidayList[Date],1,0)))),TRUE,FALSE),FALSE)</f>
        <v>0</v>
      </c>
      <c r="GF4" s="17" t="b">
        <f>IFERROR(IF(AND(VLOOKUP(GF6,$NW$21:$NX$27,2,0)="Yes",NOT(ISNUMBER(VLOOKUP(DATE($A$2,$A$3+$A$1-1,GF5),HolidayList[Date],1,0)))),TRUE,FALSE),FALSE)</f>
        <v>0</v>
      </c>
      <c r="GG4" s="17" t="b">
        <f>IFERROR(IF(AND(VLOOKUP(GG6,$NW$21:$NX$27,2,0)="Yes",NOT(ISNUMBER(VLOOKUP(DATE($A$2,$A$3+$A$1-1,GG5),HolidayList[Date],1,0)))),TRUE,FALSE),FALSE)</f>
        <v>0</v>
      </c>
      <c r="GH4" s="17" t="b">
        <f>IFERROR(IF(AND(VLOOKUP(GH6,$NW$21:$NX$27,2,0)="Yes",NOT(ISNUMBER(VLOOKUP(DATE($A$2,$A$3+$A$1-1,GH5),HolidayList[Date],1,0)))),TRUE,FALSE),FALSE)</f>
        <v>0</v>
      </c>
      <c r="GI4" s="17" t="b">
        <f>IFERROR(IF(AND(VLOOKUP(GI6,$NW$21:$NX$27,2,0)="Yes",NOT(ISNUMBER(VLOOKUP(DATE($A$2,$A$3+$A$1-1,GI5),HolidayList[Date],1,0)))),TRUE,FALSE),FALSE)</f>
        <v>0</v>
      </c>
      <c r="GJ4" s="17" t="b">
        <f>IFERROR(IF(AND(VLOOKUP(GJ6,$NW$21:$NX$27,2,0)="Yes",NOT(ISNUMBER(VLOOKUP(DATE($A$2,$A$3+$A$1-1,GJ5),HolidayList[Date],1,0)))),TRUE,FALSE),FALSE)</f>
        <v>0</v>
      </c>
      <c r="GK4" s="17" t="b">
        <f>IFERROR(IF(AND(VLOOKUP(GK6,$NW$21:$NX$27,2,0)="Yes",NOT(ISNUMBER(VLOOKUP(DATE($A$2,$A$3+$A$1-1,GK5),HolidayList[Date],1,0)))),TRUE,FALSE),FALSE)</f>
        <v>0</v>
      </c>
      <c r="GL4" s="17" t="b">
        <f>IFERROR(IF(AND(VLOOKUP(GL6,$NW$21:$NX$27,2,0)="Yes",NOT(ISNUMBER(VLOOKUP(DATE($A$2,$A$3+$A$1-1,GL5),HolidayList[Date],1,0)))),TRUE,FALSE),FALSE)</f>
        <v>0</v>
      </c>
      <c r="GM4" s="17" t="b">
        <f>IFERROR(IF(AND(VLOOKUP(GM6,$NW$21:$NX$27,2,0)="Yes",NOT(ISNUMBER(VLOOKUP(DATE($A$2,$A$3+$A$1-1,GM5),HolidayList[Date],1,0)))),TRUE,FALSE),FALSE)</f>
        <v>0</v>
      </c>
      <c r="GN4" s="17" t="b">
        <f>IFERROR(IF(AND(VLOOKUP(GN6,$NW$21:$NX$27,2,0)="Yes",NOT(ISNUMBER(VLOOKUP(DATE($A$2,$A$3+$A$1-1,GN5),HolidayList[Date],1,0)))),TRUE,FALSE),FALSE)</f>
        <v>0</v>
      </c>
      <c r="GO4" s="17" t="b">
        <f>IFERROR(IF(AND(VLOOKUP(GO6,$NW$21:$NX$27,2,0)="Yes",NOT(ISNUMBER(VLOOKUP(DATE($A$2,$A$3+$A$1-1,GO5),HolidayList[Date],1,0)))),TRUE,FALSE),FALSE)</f>
        <v>0</v>
      </c>
      <c r="GP4" s="17" t="b">
        <f>IFERROR(IF(AND(VLOOKUP(GP6,$NW$21:$NX$27,2,0)="Yes",NOT(ISNUMBER(VLOOKUP(DATE($A$2,$A$3+$A$1-1,GP5),HolidayList[Date],1,0)))),TRUE,FALSE),FALSE)</f>
        <v>0</v>
      </c>
      <c r="GQ4" s="17" t="b">
        <f>IFERROR(IF(AND(VLOOKUP(GQ6,$NW$21:$NX$27,2,0)="Yes",NOT(ISNUMBER(VLOOKUP(DATE($A$2,$A$3+$A$1-1,GQ5),HolidayList[Date],1,0)))),TRUE,FALSE),FALSE)</f>
        <v>0</v>
      </c>
      <c r="GR4" s="17" t="b">
        <f>IFERROR(IF(AND(VLOOKUP(GR6,$NW$21:$NX$27,2,0)="Yes",NOT(ISNUMBER(VLOOKUP(DATE($A$2,$A$3+$A$1-1,GR5),HolidayList[Date],1,0)))),TRUE,FALSE),FALSE)</f>
        <v>0</v>
      </c>
      <c r="GS4" s="17" t="b">
        <f>IFERROR(IF(AND(VLOOKUP(GS6,$NW$21:$NX$27,2,0)="Yes",NOT(ISNUMBER(VLOOKUP(DATE($A$2,$A$3+$A$1-1,GS5),HolidayList[Date],1,0)))),TRUE,FALSE),FALSE)</f>
        <v>0</v>
      </c>
      <c r="GT4" s="17" t="b">
        <f>IFERROR(IF(AND(VLOOKUP(GT6,$NW$21:$NX$27,2,0)="Yes",NOT(ISNUMBER(VLOOKUP(DATE($A$2,$A$3+$A$1-1,GT5),HolidayList[Date],1,0)))),TRUE,FALSE),FALSE)</f>
        <v>0</v>
      </c>
      <c r="GU4" s="17" t="b">
        <f>IFERROR(IF(AND(VLOOKUP(GU6,$NW$21:$NX$27,2,0)="Yes",NOT(ISNUMBER(VLOOKUP(DATE($A$2,$A$3+$A$1-1,GU5),HolidayList[Date],1,0)))),TRUE,FALSE),FALSE)</f>
        <v>0</v>
      </c>
      <c r="GV4" s="17" t="b">
        <f>IFERROR(IF(AND(VLOOKUP(GV6,$NW$21:$NX$27,2,0)="Yes",NOT(ISNUMBER(VLOOKUP(DATE($A$2,$A$3+$A$1-1,GV5),HolidayList[Date],1,0)))),TRUE,FALSE),FALSE)</f>
        <v>0</v>
      </c>
      <c r="GW4" s="17" t="b">
        <f>IFERROR(IF(AND(VLOOKUP(GW6,$NW$21:$NX$27,2,0)="Yes",NOT(ISNUMBER(VLOOKUP(DATE($A$2,$A$3+$A$1-1,GW5),HolidayList[Date],1,0)))),TRUE,FALSE),FALSE)</f>
        <v>0</v>
      </c>
      <c r="GX4" s="17" t="b">
        <f>IFERROR(IF(AND(VLOOKUP(GX6,$NW$21:$NX$27,2,0)="Yes",NOT(ISNUMBER(VLOOKUP(DATE($A$2,$A$3+$A$1-1,GX5),HolidayList[Date],1,0)))),TRUE,FALSE),FALSE)</f>
        <v>0</v>
      </c>
      <c r="GY4" s="17" t="b">
        <f>IFERROR(IF(AND(VLOOKUP(GY6,$NW$21:$NX$27,2,0)="Yes",NOT(ISNUMBER(VLOOKUP(DATE($A$2,$A$3+$A$1-1,GY5),HolidayList[Date],1,0)))),TRUE,FALSE),FALSE)</f>
        <v>0</v>
      </c>
      <c r="GZ4" s="17" t="b">
        <f>IFERROR(IF(AND(VLOOKUP(GZ6,$NW$21:$NX$27,2,0)="Yes",NOT(ISNUMBER(VLOOKUP(DATE($A$2,$A$3+$A$1-1,GZ5),HolidayList[Date],1,0)))),TRUE,FALSE),FALSE)</f>
        <v>0</v>
      </c>
      <c r="HA4" s="17" t="b">
        <f>IFERROR(IF(AND(VLOOKUP(HA6,$NW$21:$NX$27,2,0)="Yes",NOT(ISNUMBER(VLOOKUP(DATE($A$2,$A$3+$A$1-1,HA5),HolidayList[Date],1,0)))),TRUE,FALSE),FALSE)</f>
        <v>0</v>
      </c>
      <c r="HB4" s="17" t="b">
        <f>IFERROR(IF(AND(VLOOKUP(HB6,$NW$21:$NX$27,2,0)="Yes",NOT(ISNUMBER(VLOOKUP(DATE($A$2,$A$3+$A$1-1,HB5),HolidayList[Date],1,0)))),TRUE,FALSE),FALSE)</f>
        <v>0</v>
      </c>
      <c r="HC4" s="17" t="b">
        <f>IFERROR(IF(AND(VLOOKUP(HC6,$NW$21:$NX$27,2,0)="Yes",NOT(ISNUMBER(VLOOKUP(DATE($A$2,$A$3+$A$1-1,HC5),HolidayList[Date],1,0)))),TRUE,FALSE),FALSE)</f>
        <v>0</v>
      </c>
      <c r="HD4" s="17" t="b">
        <f>IFERROR(IF(AND(VLOOKUP(HD6,$NW$21:$NX$27,2,0)="Yes",NOT(ISNUMBER(VLOOKUP(DATE($A$2,$A$3+$A$1-1,HD5),HolidayList[Date],1,0)))),TRUE,FALSE),FALSE)</f>
        <v>0</v>
      </c>
      <c r="HE4" s="17" t="b">
        <f>IFERROR(IF(AND(VLOOKUP(HE6,$NW$21:$NX$27,2,0)="Yes",NOT(ISNUMBER(VLOOKUP(DATE($A$2,$A$3+$A$1-1,HE5),HolidayList[Date],1,0)))),TRUE,FALSE),FALSE)</f>
        <v>0</v>
      </c>
      <c r="HF4" s="17" t="b">
        <f>IFERROR(IF(AND(VLOOKUP(HF6,$NW$21:$NX$27,2,0)="Yes",NOT(ISNUMBER(VLOOKUP(DATE($A$2,$A$3+$A$1-1,HF5),HolidayList[Date],1,0)))),TRUE,FALSE),FALSE)</f>
        <v>0</v>
      </c>
      <c r="HG4" s="17" t="b">
        <f>IFERROR(IF(AND(VLOOKUP(HG6,$NW$21:$NX$27,2,0)="Yes",NOT(ISNUMBER(VLOOKUP(DATE($A$2,$A$3+$A$1-1,HG5),HolidayList[Date],1,0)))),TRUE,FALSE),FALSE)</f>
        <v>0</v>
      </c>
      <c r="HH4" s="17" t="b">
        <f>IFERROR(IF(AND(VLOOKUP(HH6,$NW$21:$NX$27,2,0)="Yes",NOT(ISNUMBER(VLOOKUP(DATE($A$2,$A$3+$A$1-1,HH5),HolidayList[Date],1,0)))),TRUE,FALSE),FALSE)</f>
        <v>0</v>
      </c>
      <c r="HI4" s="17" t="b">
        <f>IFERROR(IF(AND(VLOOKUP(HI6,$NW$21:$NX$27,2,0)="Yes",NOT(ISNUMBER(VLOOKUP(DATE($A$2,$A$3+$A$1-1,HI5),HolidayList[Date],1,0)))),TRUE,FALSE),FALSE)</f>
        <v>0</v>
      </c>
      <c r="HJ4" s="17" t="b">
        <f>IFERROR(IF(AND(VLOOKUP(HJ6,$NW$21:$NX$27,2,0)="Yes",NOT(ISNUMBER(VLOOKUP(DATE($A$2,$A$3+$A$1-1,HJ5),HolidayList[Date],1,0)))),TRUE,FALSE),FALSE)</f>
        <v>0</v>
      </c>
      <c r="HK4" s="17" t="b">
        <f>IFERROR(IF(AND(VLOOKUP(HK6,$NW$21:$NX$27,2,0)="Yes",NOT(ISNUMBER(VLOOKUP(DATE($A$2,$A$3+$A$1-1,HK5),HolidayList[Date],1,0)))),TRUE,FALSE),FALSE)</f>
        <v>0</v>
      </c>
      <c r="HL4" s="17" t="b">
        <f>IFERROR(IF(AND(VLOOKUP(HL6,$NW$21:$NX$27,2,0)="Yes",NOT(ISNUMBER(VLOOKUP(DATE($A$2,$A$3+$A$1-1,HL5),HolidayList[Date],1,0)))),TRUE,FALSE),FALSE)</f>
        <v>0</v>
      </c>
      <c r="HM4" s="17" t="b">
        <f>IFERROR(IF(AND(VLOOKUP(HM6,$NW$21:$NX$27,2,0)="Yes",NOT(ISNUMBER(VLOOKUP(DATE($A$2,$A$3+$A$1-1,HM5),HolidayList[Date],1,0)))),TRUE,FALSE),FALSE)</f>
        <v>0</v>
      </c>
      <c r="HN4" s="17" t="b">
        <f>IFERROR(IF(AND(VLOOKUP(HN6,$NW$21:$NX$27,2,0)="Yes",NOT(ISNUMBER(VLOOKUP(DATE($A$2,$A$3+$A$1-1,HN5),HolidayList[Date],1,0)))),TRUE,FALSE),FALSE)</f>
        <v>0</v>
      </c>
      <c r="HO4" s="17" t="b">
        <f>IFERROR(IF(AND(VLOOKUP(HO6,$NW$21:$NX$27,2,0)="Yes",NOT(ISNUMBER(VLOOKUP(DATE($A$2,$A$3+$A$1-1,HO5),HolidayList[Date],1,0)))),TRUE,FALSE),FALSE)</f>
        <v>0</v>
      </c>
      <c r="HP4" s="17" t="b">
        <f>IFERROR(IF(AND(VLOOKUP(HP6,$NW$21:$NX$27,2,0)="Yes",NOT(ISNUMBER(VLOOKUP(DATE($A$2,$A$3+$A$1-1,HP5),HolidayList[Date],1,0)))),TRUE,FALSE),FALSE)</f>
        <v>0</v>
      </c>
      <c r="HQ4" s="17" t="b">
        <f>IFERROR(IF(AND(VLOOKUP(HQ6,$NW$21:$NX$27,2,0)="Yes",NOT(ISNUMBER(VLOOKUP(DATE($A$2,$A$3+$A$1-1,HQ5),HolidayList[Date],1,0)))),TRUE,FALSE),FALSE)</f>
        <v>0</v>
      </c>
      <c r="HR4" s="17" t="b">
        <f>IFERROR(IF(AND(VLOOKUP(HR6,$NW$21:$NX$27,2,0)="Yes",NOT(ISNUMBER(VLOOKUP(DATE($A$2,$A$3+$A$1-1,HR5),HolidayList[Date],1,0)))),TRUE,FALSE),FALSE)</f>
        <v>0</v>
      </c>
      <c r="HS4" s="17" t="b">
        <f>IFERROR(IF(AND(VLOOKUP(HS6,$NW$21:$NX$27,2,0)="Yes",NOT(ISNUMBER(VLOOKUP(DATE($A$2,$A$3+$A$1-1,HS5),HolidayList[Date],1,0)))),TRUE,FALSE),FALSE)</f>
        <v>0</v>
      </c>
      <c r="HT4" s="17" t="b">
        <f>IFERROR(IF(AND(VLOOKUP(HT6,$NW$21:$NX$27,2,0)="Yes",NOT(ISNUMBER(VLOOKUP(DATE($A$2,$A$3+$A$1-1,HT5),HolidayList[Date],1,0)))),TRUE,FALSE),FALSE)</f>
        <v>0</v>
      </c>
      <c r="HU4" s="17" t="b">
        <f>IFERROR(IF(AND(VLOOKUP(HU6,$NW$21:$NX$27,2,0)="Yes",NOT(ISNUMBER(VLOOKUP(DATE($A$2,$A$3+$A$1-1,HU5),HolidayList[Date],1,0)))),TRUE,FALSE),FALSE)</f>
        <v>0</v>
      </c>
      <c r="HV4" s="17" t="b">
        <f>IFERROR(IF(AND(VLOOKUP(HV6,$NW$21:$NX$27,2,0)="Yes",NOT(ISNUMBER(VLOOKUP(DATE($A$2,$A$3+$A$1-1,HV5),HolidayList[Date],1,0)))),TRUE,FALSE),FALSE)</f>
        <v>0</v>
      </c>
      <c r="HW4" s="17" t="b">
        <f>IFERROR(IF(AND(VLOOKUP(HW6,$NW$21:$NX$27,2,0)="Yes",NOT(ISNUMBER(VLOOKUP(DATE($A$2,$A$3+$A$1-1,HW5),HolidayList[Date],1,0)))),TRUE,FALSE),FALSE)</f>
        <v>0</v>
      </c>
      <c r="HX4" s="17" t="b">
        <f>IFERROR(IF(AND(VLOOKUP(HX6,$NW$21:$NX$27,2,0)="Yes",NOT(ISNUMBER(VLOOKUP(DATE($A$2,$A$3+$A$1-1,HX5),HolidayList[Date],1,0)))),TRUE,FALSE),FALSE)</f>
        <v>0</v>
      </c>
      <c r="HY4" s="17" t="b">
        <f>IFERROR(IF(AND(VLOOKUP(HY6,$NW$21:$NX$27,2,0)="Yes",NOT(ISNUMBER(VLOOKUP(DATE($A$2,$A$3+$A$1-1,HY5),HolidayList[Date],1,0)))),TRUE,FALSE),FALSE)</f>
        <v>0</v>
      </c>
      <c r="HZ4" s="17" t="b">
        <f>IFERROR(IF(AND(VLOOKUP(HZ6,$NW$21:$NX$27,2,0)="Yes",NOT(ISNUMBER(VLOOKUP(DATE($A$2,$A$3+$A$1-1,HZ5),HolidayList[Date],1,0)))),TRUE,FALSE),FALSE)</f>
        <v>0</v>
      </c>
      <c r="IA4" s="17" t="b">
        <f>IFERROR(IF(AND(VLOOKUP(IA6,$NW$21:$NX$27,2,0)="Yes",NOT(ISNUMBER(VLOOKUP(DATE($A$2,$A$3+$A$1-1,IA5),HolidayList[Date],1,0)))),TRUE,FALSE),FALSE)</f>
        <v>0</v>
      </c>
      <c r="IB4" s="17" t="b">
        <f>IFERROR(IF(AND(VLOOKUP(IB6,$NW$21:$NX$27,2,0)="Yes",NOT(ISNUMBER(VLOOKUP(DATE($A$2,$A$3+$A$1-1,IB5),HolidayList[Date],1,0)))),TRUE,FALSE),FALSE)</f>
        <v>0</v>
      </c>
      <c r="IC4" s="17" t="b">
        <f>IFERROR(IF(AND(VLOOKUP(IC6,$NW$21:$NX$27,2,0)="Yes",NOT(ISNUMBER(VLOOKUP(DATE($A$2,$A$3+$A$1-1,IC5),HolidayList[Date],1,0)))),TRUE,FALSE),FALSE)</f>
        <v>0</v>
      </c>
      <c r="ID4" s="17" t="b">
        <f>IFERROR(IF(AND(VLOOKUP(ID6,$NW$21:$NX$27,2,0)="Yes",NOT(ISNUMBER(VLOOKUP(DATE($A$2,$A$3+$A$1-1,ID5),HolidayList[Date],1,0)))),TRUE,FALSE),FALSE)</f>
        <v>0</v>
      </c>
      <c r="IE4" s="17" t="b">
        <f>IFERROR(IF(AND(VLOOKUP(IE6,$NW$21:$NX$27,2,0)="Yes",NOT(ISNUMBER(VLOOKUP(DATE($A$2,$A$3+$A$1-1,IE5),HolidayList[Date],1,0)))),TRUE,FALSE),FALSE)</f>
        <v>0</v>
      </c>
      <c r="IF4" s="17" t="b">
        <f>IFERROR(IF(AND(VLOOKUP(IF6,$NW$21:$NX$27,2,0)="Yes",NOT(ISNUMBER(VLOOKUP(DATE($A$2,$A$3+$A$1-1,IF5),HolidayList[Date],1,0)))),TRUE,FALSE),FALSE)</f>
        <v>0</v>
      </c>
      <c r="IG4" s="17" t="b">
        <f>IFERROR(IF(AND(VLOOKUP(IG6,$NW$21:$NX$27,2,0)="Yes",NOT(ISNUMBER(VLOOKUP(DATE($A$2,$A$3+$A$1-1,IG5),HolidayList[Date],1,0)))),TRUE,FALSE),FALSE)</f>
        <v>0</v>
      </c>
      <c r="IH4" s="17" t="b">
        <f>IFERROR(IF(AND(VLOOKUP(IH6,$NW$21:$NX$27,2,0)="Yes",NOT(ISNUMBER(VLOOKUP(DATE($A$2,$A$3+$A$1-1,IH5),HolidayList[Date],1,0)))),TRUE,FALSE),FALSE)</f>
        <v>0</v>
      </c>
      <c r="II4" s="17" t="b">
        <f>IFERROR(IF(AND(VLOOKUP(II6,$NW$21:$NX$27,2,0)="Yes",NOT(ISNUMBER(VLOOKUP(DATE($A$2,$A$3+$A$1-1,II5),HolidayList[Date],1,0)))),TRUE,FALSE),FALSE)</f>
        <v>0</v>
      </c>
      <c r="IJ4" s="17" t="b">
        <f>IFERROR(IF(AND(VLOOKUP(IJ6,$NW$21:$NX$27,2,0)="Yes",NOT(ISNUMBER(VLOOKUP(DATE($A$2,$A$3+$A$1-1,IJ5),HolidayList[Date],1,0)))),TRUE,FALSE),FALSE)</f>
        <v>0</v>
      </c>
      <c r="IK4" s="17" t="b">
        <f>IFERROR(IF(AND(VLOOKUP(IK6,$NW$21:$NX$27,2,0)="Yes",NOT(ISNUMBER(VLOOKUP(DATE($A$2,$A$3+$A$1-1,IK5),HolidayList[Date],1,0)))),TRUE,FALSE),FALSE)</f>
        <v>0</v>
      </c>
      <c r="IL4" s="17" t="b">
        <f>IFERROR(IF(AND(VLOOKUP(IL6,$NW$21:$NX$27,2,0)="Yes",NOT(ISNUMBER(VLOOKUP(DATE($A$2,$A$3+$A$1-1,IL5),HolidayList[Date],1,0)))),TRUE,FALSE),FALSE)</f>
        <v>0</v>
      </c>
      <c r="IM4" s="17" t="b">
        <f>IFERROR(IF(AND(VLOOKUP(IM6,$NW$21:$NX$27,2,0)="Yes",NOT(ISNUMBER(VLOOKUP(DATE($A$2,$A$3+$A$1-1,IM5),HolidayList[Date],1,0)))),TRUE,FALSE),FALSE)</f>
        <v>0</v>
      </c>
      <c r="IN4" s="17" t="b">
        <f>IFERROR(IF(AND(VLOOKUP(IN6,$NW$21:$NX$27,2,0)="Yes",NOT(ISNUMBER(VLOOKUP(DATE($A$2,$A$3+$A$1-1,IN5),HolidayList[Date],1,0)))),TRUE,FALSE),FALSE)</f>
        <v>0</v>
      </c>
      <c r="IO4" s="17" t="b">
        <f>IFERROR(IF(AND(VLOOKUP(IO6,$NW$21:$NX$27,2,0)="Yes",NOT(ISNUMBER(VLOOKUP(DATE($A$2,$A$3+$A$1-1,IO5),HolidayList[Date],1,0)))),TRUE,FALSE),FALSE)</f>
        <v>0</v>
      </c>
      <c r="IP4" s="17" t="b">
        <f>IFERROR(IF(AND(VLOOKUP(IP6,$NW$21:$NX$27,2,0)="Yes",NOT(ISNUMBER(VLOOKUP(DATE($A$2,$A$3+$A$1-1,IP5),HolidayList[Date],1,0)))),TRUE,FALSE),FALSE)</f>
        <v>0</v>
      </c>
      <c r="IQ4" s="17" t="b">
        <f>IFERROR(IF(AND(VLOOKUP(IQ6,$NW$21:$NX$27,2,0)="Yes",NOT(ISNUMBER(VLOOKUP(DATE($A$2,$A$3+$A$1-1,IQ5),HolidayList[Date],1,0)))),TRUE,FALSE),FALSE)</f>
        <v>0</v>
      </c>
      <c r="IR4" s="17" t="b">
        <f>IFERROR(IF(AND(VLOOKUP(IR6,$NW$21:$NX$27,2,0)="Yes",NOT(ISNUMBER(VLOOKUP(DATE($A$2,$A$3+$A$1-1,IR5),HolidayList[Date],1,0)))),TRUE,FALSE),FALSE)</f>
        <v>0</v>
      </c>
      <c r="IS4" s="17" t="b">
        <f>IFERROR(IF(AND(VLOOKUP(IS6,$NW$21:$NX$27,2,0)="Yes",NOT(ISNUMBER(VLOOKUP(DATE($A$2,$A$3+$A$1-1,IS5),HolidayList[Date],1,0)))),TRUE,FALSE),FALSE)</f>
        <v>0</v>
      </c>
      <c r="IT4" s="17" t="b">
        <f>IFERROR(IF(AND(VLOOKUP(IT6,$NW$21:$NX$27,2,0)="Yes",NOT(ISNUMBER(VLOOKUP(DATE($A$2,$A$3+$A$1-1,IT5),HolidayList[Date],1,0)))),TRUE,FALSE),FALSE)</f>
        <v>0</v>
      </c>
      <c r="IU4" s="17" t="b">
        <f>IFERROR(IF(AND(VLOOKUP(IU6,$NW$21:$NX$27,2,0)="Yes",NOT(ISNUMBER(VLOOKUP(DATE($A$2,$A$3+$A$1-1,IU5),HolidayList[Date],1,0)))),TRUE,FALSE),FALSE)</f>
        <v>0</v>
      </c>
      <c r="IV4" s="17" t="b">
        <f>IFERROR(IF(AND(VLOOKUP(IV6,$NW$21:$NX$27,2,0)="Yes",NOT(ISNUMBER(VLOOKUP(DATE($A$2,$A$3+$A$1-1,IV5),HolidayList[Date],1,0)))),TRUE,FALSE),FALSE)</f>
        <v>0</v>
      </c>
      <c r="IW4" s="17" t="b">
        <f>IFERROR(IF(AND(VLOOKUP(IW6,$NW$21:$NX$27,2,0)="Yes",NOT(ISNUMBER(VLOOKUP(DATE($A$2,$A$3+$A$1-1,IW5),HolidayList[Date],1,0)))),TRUE,FALSE),FALSE)</f>
        <v>0</v>
      </c>
      <c r="IX4" s="17" t="b">
        <f>IFERROR(IF(AND(VLOOKUP(IX6,$NW$21:$NX$27,2,0)="Yes",NOT(ISNUMBER(VLOOKUP(DATE($A$2,$A$3+$A$1-1,IX5),HolidayList[Date],1,0)))),TRUE,FALSE),FALSE)</f>
        <v>0</v>
      </c>
      <c r="IY4" s="17" t="b">
        <f>IFERROR(IF(AND(VLOOKUP(IY6,$NW$21:$NX$27,2,0)="Yes",NOT(ISNUMBER(VLOOKUP(DATE($A$2,$A$3+$A$1-1,IY5),HolidayList[Date],1,0)))),TRUE,FALSE),FALSE)</f>
        <v>0</v>
      </c>
      <c r="IZ4" s="17" t="b">
        <f>IFERROR(IF(AND(VLOOKUP(IZ6,$NW$21:$NX$27,2,0)="Yes",NOT(ISNUMBER(VLOOKUP(DATE($A$2,$A$3+$A$1-1,IZ5),HolidayList[Date],1,0)))),TRUE,FALSE),FALSE)</f>
        <v>0</v>
      </c>
      <c r="JA4" s="17" t="b">
        <f>IFERROR(IF(AND(VLOOKUP(JA6,$NW$21:$NX$27,2,0)="Yes",NOT(ISNUMBER(VLOOKUP(DATE($A$2,$A$3+$A$1-1,JA5),HolidayList[Date],1,0)))),TRUE,FALSE),FALSE)</f>
        <v>0</v>
      </c>
      <c r="JB4" s="17" t="b">
        <f>IFERROR(IF(AND(VLOOKUP(JB6,$NW$21:$NX$27,2,0)="Yes",NOT(ISNUMBER(VLOOKUP(DATE($A$2,$A$3+$A$1-1,JB5),HolidayList[Date],1,0)))),TRUE,FALSE),FALSE)</f>
        <v>0</v>
      </c>
      <c r="JC4" s="17" t="b">
        <f>IFERROR(IF(AND(VLOOKUP(JC6,$NW$21:$NX$27,2,0)="Yes",NOT(ISNUMBER(VLOOKUP(DATE($A$2,$A$3+$A$1-1,JC5),HolidayList[Date],1,0)))),TRUE,FALSE),FALSE)</f>
        <v>0</v>
      </c>
      <c r="JD4" s="17" t="b">
        <f>IFERROR(IF(AND(VLOOKUP(JD6,$NW$21:$NX$27,2,0)="Yes",NOT(ISNUMBER(VLOOKUP(DATE($A$2,$A$3+$A$1-1,JD5),HolidayList[Date],1,0)))),TRUE,FALSE),FALSE)</f>
        <v>0</v>
      </c>
      <c r="JE4" s="17" t="b">
        <f>IFERROR(IF(AND(VLOOKUP(JE6,$NW$21:$NX$27,2,0)="Yes",NOT(ISNUMBER(VLOOKUP(DATE($A$2,$A$3+$A$1-1,JE5),HolidayList[Date],1,0)))),TRUE,FALSE),FALSE)</f>
        <v>0</v>
      </c>
      <c r="JF4" s="17" t="b">
        <f>IFERROR(IF(AND(VLOOKUP(JF6,$NW$21:$NX$27,2,0)="Yes",NOT(ISNUMBER(VLOOKUP(DATE($A$2,$A$3+$A$1-1,JF5),HolidayList[Date],1,0)))),TRUE,FALSE),FALSE)</f>
        <v>0</v>
      </c>
      <c r="JG4" s="17" t="b">
        <f>IFERROR(IF(AND(VLOOKUP(JG6,$NW$21:$NX$27,2,0)="Yes",NOT(ISNUMBER(VLOOKUP(DATE($A$2,$A$3+$A$1-1,JG5),HolidayList[Date],1,0)))),TRUE,FALSE),FALSE)</f>
        <v>0</v>
      </c>
      <c r="JH4" s="17" t="b">
        <f>IFERROR(IF(AND(VLOOKUP(JH6,$NW$21:$NX$27,2,0)="Yes",NOT(ISNUMBER(VLOOKUP(DATE($A$2,$A$3+$A$1-1,JH5),HolidayList[Date],1,0)))),TRUE,FALSE),FALSE)</f>
        <v>0</v>
      </c>
      <c r="JI4" s="17" t="b">
        <f>IFERROR(IF(AND(VLOOKUP(JI6,$NW$21:$NX$27,2,0)="Yes",NOT(ISNUMBER(VLOOKUP(DATE($A$2,$A$3+$A$1-1,JI5),HolidayList[Date],1,0)))),TRUE,FALSE),FALSE)</f>
        <v>0</v>
      </c>
      <c r="JJ4" s="17" t="b">
        <f>IFERROR(IF(AND(VLOOKUP(JJ6,$NW$21:$NX$27,2,0)="Yes",NOT(ISNUMBER(VLOOKUP(DATE($A$2,$A$3+$A$1-1,JJ5),HolidayList[Date],1,0)))),TRUE,FALSE),FALSE)</f>
        <v>0</v>
      </c>
      <c r="JK4" s="17" t="b">
        <f>IFERROR(IF(AND(VLOOKUP(JK6,$NW$21:$NX$27,2,0)="Yes",NOT(ISNUMBER(VLOOKUP(DATE($A$2,$A$3+$A$1-1,JK5),HolidayList[Date],1,0)))),TRUE,FALSE),FALSE)</f>
        <v>0</v>
      </c>
      <c r="JL4" s="17" t="b">
        <f>IFERROR(IF(AND(VLOOKUP(JL6,$NW$21:$NX$27,2,0)="Yes",NOT(ISNUMBER(VLOOKUP(DATE($A$2,$A$3+$A$1-1,JL5),HolidayList[Date],1,0)))),TRUE,FALSE),FALSE)</f>
        <v>0</v>
      </c>
      <c r="JM4" s="17" t="b">
        <f>IFERROR(IF(AND(VLOOKUP(JM6,$NW$21:$NX$27,2,0)="Yes",NOT(ISNUMBER(VLOOKUP(DATE($A$2,$A$3+$A$1-1,JM5),HolidayList[Date],1,0)))),TRUE,FALSE),FALSE)</f>
        <v>0</v>
      </c>
      <c r="JN4" s="17" t="b">
        <f>IFERROR(IF(AND(VLOOKUP(JN6,$NW$21:$NX$27,2,0)="Yes",NOT(ISNUMBER(VLOOKUP(DATE($A$2,$A$3+$A$1-1,JN5),HolidayList[Date],1,0)))),TRUE,FALSE),FALSE)</f>
        <v>0</v>
      </c>
      <c r="JO4" s="17" t="b">
        <f>IFERROR(IF(AND(VLOOKUP(JO6,$NW$21:$NX$27,2,0)="Yes",NOT(ISNUMBER(VLOOKUP(DATE($A$2,$A$3+$A$1-1,JO5),HolidayList[Date],1,0)))),TRUE,FALSE),FALSE)</f>
        <v>0</v>
      </c>
      <c r="JP4" s="17" t="b">
        <f>IFERROR(IF(AND(VLOOKUP(JP6,$NW$21:$NX$27,2,0)="Yes",NOT(ISNUMBER(VLOOKUP(DATE($A$2,$A$3+$A$1-1,JP5),HolidayList[Date],1,0)))),TRUE,FALSE),FALSE)</f>
        <v>0</v>
      </c>
      <c r="JQ4" s="17" t="b">
        <f>IFERROR(IF(AND(VLOOKUP(JQ6,$NW$21:$NX$27,2,0)="Yes",NOT(ISNUMBER(VLOOKUP(DATE($A$2,$A$3+$A$1-1,JQ5),HolidayList[Date],1,0)))),TRUE,FALSE),FALSE)</f>
        <v>0</v>
      </c>
      <c r="JR4" s="17" t="b">
        <f>IFERROR(IF(AND(VLOOKUP(JR6,$NW$21:$NX$27,2,0)="Yes",NOT(ISNUMBER(VLOOKUP(DATE($A$2,$A$3+$A$1-1,JR5),HolidayList[Date],1,0)))),TRUE,FALSE),FALSE)</f>
        <v>0</v>
      </c>
      <c r="JS4" s="17" t="b">
        <f>IFERROR(IF(AND(VLOOKUP(JS6,$NW$21:$NX$27,2,0)="Yes",NOT(ISNUMBER(VLOOKUP(DATE($A$2,$A$3+$A$1-1,JS5),HolidayList[Date],1,0)))),TRUE,FALSE),FALSE)</f>
        <v>0</v>
      </c>
      <c r="JT4" s="17" t="b">
        <f>IFERROR(IF(AND(VLOOKUP(JT6,$NW$21:$NX$27,2,0)="Yes",NOT(ISNUMBER(VLOOKUP(DATE($A$2,$A$3+$A$1-1,JT5),HolidayList[Date],1,0)))),TRUE,FALSE),FALSE)</f>
        <v>0</v>
      </c>
      <c r="JU4" s="17" t="b">
        <f>IFERROR(IF(AND(VLOOKUP(JU6,$NW$21:$NX$27,2,0)="Yes",NOT(ISNUMBER(VLOOKUP(DATE($A$2,$A$3+$A$1-1,JU5),HolidayList[Date],1,0)))),TRUE,FALSE),FALSE)</f>
        <v>0</v>
      </c>
      <c r="JV4" s="17" t="b">
        <f>IFERROR(IF(AND(VLOOKUP(JV6,$NW$21:$NX$27,2,0)="Yes",NOT(ISNUMBER(VLOOKUP(DATE($A$2,$A$3+$A$1-1,JV5),HolidayList[Date],1,0)))),TRUE,FALSE),FALSE)</f>
        <v>0</v>
      </c>
      <c r="JW4" s="17" t="b">
        <f>IFERROR(IF(AND(VLOOKUP(JW6,$NW$21:$NX$27,2,0)="Yes",NOT(ISNUMBER(VLOOKUP(DATE($A$2,$A$3+$A$1-1,JW5),HolidayList[Date],1,0)))),TRUE,FALSE),FALSE)</f>
        <v>0</v>
      </c>
      <c r="JX4" s="17" t="b">
        <f>IFERROR(IF(AND(VLOOKUP(JX6,$NW$21:$NX$27,2,0)="Yes",NOT(ISNUMBER(VLOOKUP(DATE($A$2,$A$3+$A$1-1,JX5),HolidayList[Date],1,0)))),TRUE,FALSE),FALSE)</f>
        <v>0</v>
      </c>
      <c r="JY4" s="17" t="b">
        <f>IFERROR(IF(AND(VLOOKUP(JY6,$NW$21:$NX$27,2,0)="Yes",NOT(ISNUMBER(VLOOKUP(DATE($A$2,$A$3+$A$1-1,JY5),HolidayList[Date],1,0)))),TRUE,FALSE),FALSE)</f>
        <v>0</v>
      </c>
      <c r="JZ4" s="17" t="b">
        <f>IFERROR(IF(AND(VLOOKUP(JZ6,$NW$21:$NX$27,2,0)="Yes",NOT(ISNUMBER(VLOOKUP(DATE($A$2,$A$3+$A$1-1,JZ5),HolidayList[Date],1,0)))),TRUE,FALSE),FALSE)</f>
        <v>0</v>
      </c>
      <c r="KA4" s="17" t="b">
        <f>IFERROR(IF(AND(VLOOKUP(KA6,$NW$21:$NX$27,2,0)="Yes",NOT(ISNUMBER(VLOOKUP(DATE($A$2,$A$3+$A$1-1,KA5),HolidayList[Date],1,0)))),TRUE,FALSE),FALSE)</f>
        <v>0</v>
      </c>
      <c r="KB4" s="17" t="b">
        <f>IFERROR(IF(AND(VLOOKUP(KB6,$NW$21:$NX$27,2,0)="Yes",NOT(ISNUMBER(VLOOKUP(DATE($A$2,$A$3+$A$1-1,KB5),HolidayList[Date],1,0)))),TRUE,FALSE),FALSE)</f>
        <v>0</v>
      </c>
      <c r="KC4" s="17" t="b">
        <f>IFERROR(IF(AND(VLOOKUP(KC6,$NW$21:$NX$27,2,0)="Yes",NOT(ISNUMBER(VLOOKUP(DATE($A$2,$A$3+$A$1-1,KC5),HolidayList[Date],1,0)))),TRUE,FALSE),FALSE)</f>
        <v>0</v>
      </c>
      <c r="KD4" s="17" t="b">
        <f>IFERROR(IF(AND(VLOOKUP(KD6,$NW$21:$NX$27,2,0)="Yes",NOT(ISNUMBER(VLOOKUP(DATE($A$2,$A$3+$A$1-1,KD5),HolidayList[Date],1,0)))),TRUE,FALSE),FALSE)</f>
        <v>0</v>
      </c>
      <c r="KE4" s="17" t="b">
        <f>IFERROR(IF(AND(VLOOKUP(KE6,$NW$21:$NX$27,2,0)="Yes",NOT(ISNUMBER(VLOOKUP(DATE($A$2,$A$3+$A$1-1,KE5),HolidayList[Date],1,0)))),TRUE,FALSE),FALSE)</f>
        <v>0</v>
      </c>
      <c r="KF4" s="17" t="b">
        <f>IFERROR(IF(AND(VLOOKUP(KF6,$NW$21:$NX$27,2,0)="Yes",NOT(ISNUMBER(VLOOKUP(DATE($A$2,$A$3+$A$1-1,KF5),HolidayList[Date],1,0)))),TRUE,FALSE),FALSE)</f>
        <v>0</v>
      </c>
      <c r="KG4" s="17" t="b">
        <f>IFERROR(IF(AND(VLOOKUP(KG6,$NW$21:$NX$27,2,0)="Yes",NOT(ISNUMBER(VLOOKUP(DATE($A$2,$A$3+$A$1-1,KG5),HolidayList[Date],1,0)))),TRUE,FALSE),FALSE)</f>
        <v>0</v>
      </c>
      <c r="KH4" s="17" t="b">
        <f>IFERROR(IF(AND(VLOOKUP(KH6,$NW$21:$NX$27,2,0)="Yes",NOT(ISNUMBER(VLOOKUP(DATE($A$2,$A$3+$A$1-1,KH5),HolidayList[Date],1,0)))),TRUE,FALSE),FALSE)</f>
        <v>0</v>
      </c>
      <c r="KI4" s="17" t="b">
        <f>IFERROR(IF(AND(VLOOKUP(KI6,$NW$21:$NX$27,2,0)="Yes",NOT(ISNUMBER(VLOOKUP(DATE($A$2,$A$3+$A$1-1,KI5),HolidayList[Date],1,0)))),TRUE,FALSE),FALSE)</f>
        <v>0</v>
      </c>
      <c r="KJ4" s="17" t="b">
        <f>IFERROR(IF(AND(VLOOKUP(KJ6,$NW$21:$NX$27,2,0)="Yes",NOT(ISNUMBER(VLOOKUP(DATE($A$2,$A$3+$A$1-1,KJ5),HolidayList[Date],1,0)))),TRUE,FALSE),FALSE)</f>
        <v>0</v>
      </c>
      <c r="KK4" s="17" t="b">
        <f>IFERROR(IF(AND(VLOOKUP(KK6,$NW$21:$NX$27,2,0)="Yes",NOT(ISNUMBER(VLOOKUP(DATE($A$2,$A$3+$A$1-1,KK5),HolidayList[Date],1,0)))),TRUE,FALSE),FALSE)</f>
        <v>0</v>
      </c>
      <c r="KL4" s="17" t="b">
        <f>IFERROR(IF(AND(VLOOKUP(KL6,$NW$21:$NX$27,2,0)="Yes",NOT(ISNUMBER(VLOOKUP(DATE($A$2,$A$3+$A$1-1,KL5),HolidayList[Date],1,0)))),TRUE,FALSE),FALSE)</f>
        <v>0</v>
      </c>
      <c r="KM4" s="17" t="b">
        <f>IFERROR(IF(AND(VLOOKUP(KM6,$NW$21:$NX$27,2,0)="Yes",NOT(ISNUMBER(VLOOKUP(DATE($A$2,$A$3+$A$1-1,KM5),HolidayList[Date],1,0)))),TRUE,FALSE),FALSE)</f>
        <v>0</v>
      </c>
      <c r="KN4" s="17" t="b">
        <f>IFERROR(IF(AND(VLOOKUP(KN6,$NW$21:$NX$27,2,0)="Yes",NOT(ISNUMBER(VLOOKUP(DATE($A$2,$A$3+$A$1-1,KN5),HolidayList[Date],1,0)))),TRUE,FALSE),FALSE)</f>
        <v>0</v>
      </c>
      <c r="KO4" s="17" t="b">
        <f>IFERROR(IF(AND(VLOOKUP(KO6,$NW$21:$NX$27,2,0)="Yes",NOT(ISNUMBER(VLOOKUP(DATE($A$2,$A$3+$A$1-1,KO5),HolidayList[Date],1,0)))),TRUE,FALSE),FALSE)</f>
        <v>0</v>
      </c>
      <c r="KP4" s="17" t="b">
        <f>IFERROR(IF(AND(VLOOKUP(KP6,$NW$21:$NX$27,2,0)="Yes",NOT(ISNUMBER(VLOOKUP(DATE($A$2,$A$3+$A$1-1,KP5),HolidayList[Date],1,0)))),TRUE,FALSE),FALSE)</f>
        <v>0</v>
      </c>
      <c r="KQ4" s="17" t="b">
        <f>IFERROR(IF(AND(VLOOKUP(KQ6,$NW$21:$NX$27,2,0)="Yes",NOT(ISNUMBER(VLOOKUP(DATE($A$2,$A$3+$A$1-1,KQ5),HolidayList[Date],1,0)))),TRUE,FALSE),FALSE)</f>
        <v>0</v>
      </c>
      <c r="KR4" s="17" t="b">
        <f>IFERROR(IF(AND(VLOOKUP(KR6,$NW$21:$NX$27,2,0)="Yes",NOT(ISNUMBER(VLOOKUP(DATE($A$2,$A$3+$A$1-1,KR5),HolidayList[Date],1,0)))),TRUE,FALSE),FALSE)</f>
        <v>0</v>
      </c>
      <c r="KS4" s="17" t="b">
        <f>IFERROR(IF(AND(VLOOKUP(KS6,$NW$21:$NX$27,2,0)="Yes",NOT(ISNUMBER(VLOOKUP(DATE($A$2,$A$3+$A$1-1,KS5),HolidayList[Date],1,0)))),TRUE,FALSE),FALSE)</f>
        <v>0</v>
      </c>
      <c r="KT4" s="17" t="b">
        <f>IFERROR(IF(AND(VLOOKUP(KT6,$NW$21:$NX$27,2,0)="Yes",NOT(ISNUMBER(VLOOKUP(DATE($A$2,$A$3+$A$1-1,KT5),HolidayList[Date],1,0)))),TRUE,FALSE),FALSE)</f>
        <v>0</v>
      </c>
      <c r="KU4" s="17" t="b">
        <f>IFERROR(IF(AND(VLOOKUP(KU6,$NW$21:$NX$27,2,0)="Yes",NOT(ISNUMBER(VLOOKUP(DATE($A$2,$A$3+$A$1-1,KU5),HolidayList[Date],1,0)))),TRUE,FALSE),FALSE)</f>
        <v>0</v>
      </c>
      <c r="KV4" s="17" t="b">
        <f>IFERROR(IF(AND(VLOOKUP(KV6,$NW$21:$NX$27,2,0)="Yes",NOT(ISNUMBER(VLOOKUP(DATE($A$2,$A$3+$A$1-1,KV5),HolidayList[Date],1,0)))),TRUE,FALSE),FALSE)</f>
        <v>0</v>
      </c>
      <c r="KW4" s="17" t="b">
        <f>IFERROR(IF(AND(VLOOKUP(KW6,$NW$21:$NX$27,2,0)="Yes",NOT(ISNUMBER(VLOOKUP(DATE($A$2,$A$3+$A$1-1,KW5),HolidayList[Date],1,0)))),TRUE,FALSE),FALSE)</f>
        <v>0</v>
      </c>
      <c r="KX4" s="17" t="b">
        <f>IFERROR(IF(AND(VLOOKUP(KX6,$NW$21:$NX$27,2,0)="Yes",NOT(ISNUMBER(VLOOKUP(DATE($A$2,$A$3+$A$1-1,KX5),HolidayList[Date],1,0)))),TRUE,FALSE),FALSE)</f>
        <v>0</v>
      </c>
      <c r="KY4" s="17" t="b">
        <f>IFERROR(IF(AND(VLOOKUP(KY6,$NW$21:$NX$27,2,0)="Yes",NOT(ISNUMBER(VLOOKUP(DATE($A$2,$A$3+$A$1-1,KY5),HolidayList[Date],1,0)))),TRUE,FALSE),FALSE)</f>
        <v>0</v>
      </c>
      <c r="KZ4" s="17" t="b">
        <f>IFERROR(IF(AND(VLOOKUP(KZ6,$NW$21:$NX$27,2,0)="Yes",NOT(ISNUMBER(VLOOKUP(DATE($A$2,$A$3+$A$1-1,KZ5),HolidayList[Date],1,0)))),TRUE,FALSE),FALSE)</f>
        <v>0</v>
      </c>
      <c r="LA4" s="17" t="b">
        <f>IFERROR(IF(AND(VLOOKUP(LA6,$NW$21:$NX$27,2,0)="Yes",NOT(ISNUMBER(VLOOKUP(DATE($A$2,$A$3+$A$1-1,LA5),HolidayList[Date],1,0)))),TRUE,FALSE),FALSE)</f>
        <v>0</v>
      </c>
      <c r="LB4" s="17" t="b">
        <f>IFERROR(IF(AND(VLOOKUP(LB6,$NW$21:$NX$27,2,0)="Yes",NOT(ISNUMBER(VLOOKUP(DATE($A$2,$A$3+$A$1-1,LB5),HolidayList[Date],1,0)))),TRUE,FALSE),FALSE)</f>
        <v>0</v>
      </c>
      <c r="LC4" s="17" t="b">
        <f>IFERROR(IF(AND(VLOOKUP(LC6,$NW$21:$NX$27,2,0)="Yes",NOT(ISNUMBER(VLOOKUP(DATE($A$2,$A$3+$A$1-1,LC5),HolidayList[Date],1,0)))),TRUE,FALSE),FALSE)</f>
        <v>0</v>
      </c>
      <c r="LD4" s="17" t="b">
        <f>IFERROR(IF(AND(VLOOKUP(LD6,$NW$21:$NX$27,2,0)="Yes",NOT(ISNUMBER(VLOOKUP(DATE($A$2,$A$3+$A$1-1,LD5),HolidayList[Date],1,0)))),TRUE,FALSE),FALSE)</f>
        <v>0</v>
      </c>
      <c r="LE4" s="17" t="b">
        <f>IFERROR(IF(AND(VLOOKUP(LE6,$NW$21:$NX$27,2,0)="Yes",NOT(ISNUMBER(VLOOKUP(DATE($A$2,$A$3+$A$1-1,LE5),HolidayList[Date],1,0)))),TRUE,FALSE),FALSE)</f>
        <v>0</v>
      </c>
      <c r="LF4" s="17" t="b">
        <f>IFERROR(IF(AND(VLOOKUP(LF6,$NW$21:$NX$27,2,0)="Yes",NOT(ISNUMBER(VLOOKUP(DATE($A$2,$A$3+$A$1-1,LF5),HolidayList[Date],1,0)))),TRUE,FALSE),FALSE)</f>
        <v>0</v>
      </c>
      <c r="LG4" s="17" t="b">
        <f>IFERROR(IF(AND(VLOOKUP(LG6,$NW$21:$NX$27,2,0)="Yes",NOT(ISNUMBER(VLOOKUP(DATE($A$2,$A$3+$A$1-1,LG5),HolidayList[Date],1,0)))),TRUE,FALSE),FALSE)</f>
        <v>0</v>
      </c>
      <c r="LH4" s="17" t="b">
        <f>IFERROR(IF(AND(VLOOKUP(LH6,$NW$21:$NX$27,2,0)="Yes",NOT(ISNUMBER(VLOOKUP(DATE($A$2,$A$3+$A$1-1,LH5),HolidayList[Date],1,0)))),TRUE,FALSE),FALSE)</f>
        <v>0</v>
      </c>
      <c r="LI4" s="17" t="b">
        <f>IFERROR(IF(AND(VLOOKUP(LI6,$NW$21:$NX$27,2,0)="Yes",NOT(ISNUMBER(VLOOKUP(DATE($A$2,$A$3+$A$1-1,LI5),HolidayList[Date],1,0)))),TRUE,FALSE),FALSE)</f>
        <v>0</v>
      </c>
      <c r="LJ4" s="17" t="b">
        <f>IFERROR(IF(AND(VLOOKUP(LJ6,$NW$21:$NX$27,2,0)="Yes",NOT(ISNUMBER(VLOOKUP(DATE($A$2,$A$3+$A$1-1,LJ5),HolidayList[Date],1,0)))),TRUE,FALSE),FALSE)</f>
        <v>0</v>
      </c>
      <c r="LK4" s="17" t="b">
        <f>IFERROR(IF(AND(VLOOKUP(LK6,$NW$21:$NX$27,2,0)="Yes",NOT(ISNUMBER(VLOOKUP(DATE($A$2,$A$3+$A$1-1,LK5),HolidayList[Date],1,0)))),TRUE,FALSE),FALSE)</f>
        <v>0</v>
      </c>
      <c r="LL4" s="17" t="b">
        <f>IFERROR(IF(AND(VLOOKUP(LL6,$NW$21:$NX$27,2,0)="Yes",NOT(ISNUMBER(VLOOKUP(DATE($A$2,$A$3+$A$1-1,LL5),HolidayList[Date],1,0)))),TRUE,FALSE),FALSE)</f>
        <v>0</v>
      </c>
      <c r="LM4" s="17" t="b">
        <f>IFERROR(IF(AND(VLOOKUP(LM6,$NW$21:$NX$27,2,0)="Yes",NOT(ISNUMBER(VLOOKUP(DATE($A$2,$A$3+$A$1-1,LM5),HolidayList[Date],1,0)))),TRUE,FALSE),FALSE)</f>
        <v>0</v>
      </c>
      <c r="LN4" s="17" t="b">
        <f>IFERROR(IF(AND(VLOOKUP(LN6,$NW$21:$NX$27,2,0)="Yes",NOT(ISNUMBER(VLOOKUP(DATE($A$2,$A$3+$A$1-1,LN5),HolidayList[Date],1,0)))),TRUE,FALSE),FALSE)</f>
        <v>0</v>
      </c>
      <c r="LO4" s="17" t="b">
        <f>IFERROR(IF(AND(VLOOKUP(LO6,$NW$21:$NX$27,2,0)="Yes",NOT(ISNUMBER(VLOOKUP(DATE($A$2,$A$3+$A$1-1,LO5),HolidayList[Date],1,0)))),TRUE,FALSE),FALSE)</f>
        <v>0</v>
      </c>
      <c r="LP4" s="17" t="b">
        <f>IFERROR(IF(AND(VLOOKUP(LP6,$NW$21:$NX$27,2,0)="Yes",NOT(ISNUMBER(VLOOKUP(DATE($A$2,$A$3+$A$1-1,LP5),HolidayList[Date],1,0)))),TRUE,FALSE),FALSE)</f>
        <v>0</v>
      </c>
      <c r="LQ4" s="17" t="b">
        <f>IFERROR(IF(AND(VLOOKUP(LQ6,$NW$21:$NX$27,2,0)="Yes",NOT(ISNUMBER(VLOOKUP(DATE($A$2,$A$3+$A$1-1,LQ5),HolidayList[Date],1,0)))),TRUE,FALSE),FALSE)</f>
        <v>0</v>
      </c>
      <c r="LR4" s="17" t="b">
        <f>IFERROR(IF(AND(VLOOKUP(LR6,$NW$21:$NX$27,2,0)="Yes",NOT(ISNUMBER(VLOOKUP(DATE($A$2,$A$3+$A$1-1,LR5),HolidayList[Date],1,0)))),TRUE,FALSE),FALSE)</f>
        <v>0</v>
      </c>
      <c r="LS4" s="17" t="b">
        <f>IFERROR(IF(AND(VLOOKUP(LS6,$NW$21:$NX$27,2,0)="Yes",NOT(ISNUMBER(VLOOKUP(DATE($A$2,$A$3+$A$1-1,LS5),HolidayList[Date],1,0)))),TRUE,FALSE),FALSE)</f>
        <v>0</v>
      </c>
      <c r="LT4" s="17" t="b">
        <f>IFERROR(IF(AND(VLOOKUP(LT6,$NW$21:$NX$27,2,0)="Yes",NOT(ISNUMBER(VLOOKUP(DATE($A$2,$A$3+$A$1-1,LT5),HolidayList[Date],1,0)))),TRUE,FALSE),FALSE)</f>
        <v>0</v>
      </c>
      <c r="LU4" s="17" t="b">
        <f>IFERROR(IF(AND(VLOOKUP(LU6,$NW$21:$NX$27,2,0)="Yes",NOT(ISNUMBER(VLOOKUP(DATE($A$2,$A$3+$A$1-1,LU5),HolidayList[Date],1,0)))),TRUE,FALSE),FALSE)</f>
        <v>0</v>
      </c>
      <c r="LV4" s="17" t="b">
        <f>IFERROR(IF(AND(VLOOKUP(LV6,$NW$21:$NX$27,2,0)="Yes",NOT(ISNUMBER(VLOOKUP(DATE($A$2,$A$3+$A$1-1,LV5),HolidayList[Date],1,0)))),TRUE,FALSE),FALSE)</f>
        <v>0</v>
      </c>
      <c r="LW4" s="17" t="b">
        <f>IFERROR(IF(AND(VLOOKUP(LW6,$NW$21:$NX$27,2,0)="Yes",NOT(ISNUMBER(VLOOKUP(DATE($A$2,$A$3+$A$1-1,LW5),HolidayList[Date],1,0)))),TRUE,FALSE),FALSE)</f>
        <v>0</v>
      </c>
      <c r="LX4" s="17" t="b">
        <f>IFERROR(IF(AND(VLOOKUP(LX6,$NW$21:$NX$27,2,0)="Yes",NOT(ISNUMBER(VLOOKUP(DATE($A$2,$A$3+$A$1-1,LX5),HolidayList[Date],1,0)))),TRUE,FALSE),FALSE)</f>
        <v>0</v>
      </c>
      <c r="LY4" s="17" t="b">
        <f>IFERROR(IF(AND(VLOOKUP(LY6,$NW$21:$NX$27,2,0)="Yes",NOT(ISNUMBER(VLOOKUP(DATE($A$2,$A$3+$A$1-1,LY5),HolidayList[Date],1,0)))),TRUE,FALSE),FALSE)</f>
        <v>0</v>
      </c>
      <c r="LZ4" s="17" t="b">
        <f>IFERROR(IF(AND(VLOOKUP(LZ6,$NW$21:$NX$27,2,0)="Yes",NOT(ISNUMBER(VLOOKUP(DATE($A$2,$A$3+$A$1-1,LZ5),HolidayList[Date],1,0)))),TRUE,FALSE),FALSE)</f>
        <v>0</v>
      </c>
      <c r="MA4" s="17" t="b">
        <f>IFERROR(IF(AND(VLOOKUP(MA6,$NW$21:$NX$27,2,0)="Yes",NOT(ISNUMBER(VLOOKUP(DATE($A$2,$A$3+$A$1-1,MA5),HolidayList[Date],1,0)))),TRUE,FALSE),FALSE)</f>
        <v>0</v>
      </c>
      <c r="MB4" s="17" t="b">
        <f>IFERROR(IF(AND(VLOOKUP(MB6,$NW$21:$NX$27,2,0)="Yes",NOT(ISNUMBER(VLOOKUP(DATE($A$2,$A$3+$A$1-1,MB5),HolidayList[Date],1,0)))),TRUE,FALSE),FALSE)</f>
        <v>0</v>
      </c>
      <c r="MC4" s="17" t="b">
        <f>IFERROR(IF(AND(VLOOKUP(MC6,$NW$21:$NX$27,2,0)="Yes",NOT(ISNUMBER(VLOOKUP(DATE($A$2,$A$3+$A$1-1,MC5),HolidayList[Date],1,0)))),TRUE,FALSE),FALSE)</f>
        <v>0</v>
      </c>
      <c r="MD4" s="17" t="b">
        <f>IFERROR(IF(AND(VLOOKUP(MD6,$NW$21:$NX$27,2,0)="Yes",NOT(ISNUMBER(VLOOKUP(DATE($A$2,$A$3+$A$1-1,MD5),HolidayList[Date],1,0)))),TRUE,FALSE),FALSE)</f>
        <v>0</v>
      </c>
      <c r="ME4" s="17" t="b">
        <f>IFERROR(IF(AND(VLOOKUP(ME6,$NW$21:$NX$27,2,0)="Yes",NOT(ISNUMBER(VLOOKUP(DATE($A$2,$A$3+$A$1-1,ME5),HolidayList[Date],1,0)))),TRUE,FALSE),FALSE)</f>
        <v>0</v>
      </c>
      <c r="MF4" s="17" t="b">
        <f>IFERROR(IF(AND(VLOOKUP(MF6,$NW$21:$NX$27,2,0)="Yes",NOT(ISNUMBER(VLOOKUP(DATE($A$2,$A$3+$A$1-1,MF5),HolidayList[Date],1,0)))),TRUE,FALSE),FALSE)</f>
        <v>0</v>
      </c>
      <c r="MG4" s="17" t="b">
        <f>IFERROR(IF(AND(VLOOKUP(MG6,$NW$21:$NX$27,2,0)="Yes",NOT(ISNUMBER(VLOOKUP(DATE($A$2,$A$3+$A$1-1,MG5),HolidayList[Date],1,0)))),TRUE,FALSE),FALSE)</f>
        <v>0</v>
      </c>
      <c r="MH4" s="17" t="b">
        <f>IFERROR(IF(AND(VLOOKUP(MH6,$NW$21:$NX$27,2,0)="Yes",NOT(ISNUMBER(VLOOKUP(DATE($A$2,$A$3+$A$1-1,MH5),HolidayList[Date],1,0)))),TRUE,FALSE),FALSE)</f>
        <v>0</v>
      </c>
      <c r="MI4" s="17" t="b">
        <f>IFERROR(IF(AND(VLOOKUP(MI6,$NW$21:$NX$27,2,0)="Yes",NOT(ISNUMBER(VLOOKUP(DATE($A$2,$A$3+$A$1-1,MI5),HolidayList[Date],1,0)))),TRUE,FALSE),FALSE)</f>
        <v>0</v>
      </c>
      <c r="MJ4" s="17" t="b">
        <f>IFERROR(IF(AND(VLOOKUP(MJ6,$NW$21:$NX$27,2,0)="Yes",NOT(ISNUMBER(VLOOKUP(DATE($A$2,$A$3+$A$1-1,MJ5),HolidayList[Date],1,0)))),TRUE,FALSE),FALSE)</f>
        <v>0</v>
      </c>
      <c r="MK4" s="17" t="b">
        <f>IFERROR(IF(AND(VLOOKUP(MK6,$NW$21:$NX$27,2,0)="Yes",NOT(ISNUMBER(VLOOKUP(DATE($A$2,$A$3+$A$1-1,MK5),HolidayList[Date],1,0)))),TRUE,FALSE),FALSE)</f>
        <v>0</v>
      </c>
      <c r="ML4" s="17" t="b">
        <f>IFERROR(IF(AND(VLOOKUP(ML6,$NW$21:$NX$27,2,0)="Yes",NOT(ISNUMBER(VLOOKUP(DATE($A$2,$A$3+$A$1-1,ML5),HolidayList[Date],1,0)))),TRUE,FALSE),FALSE)</f>
        <v>0</v>
      </c>
      <c r="MM4" s="17" t="b">
        <f>IFERROR(IF(AND(VLOOKUP(MM6,$NW$21:$NX$27,2,0)="Yes",NOT(ISNUMBER(VLOOKUP(DATE($A$2,$A$3+$A$1-1,MM5),HolidayList[Date],1,0)))),TRUE,FALSE),FALSE)</f>
        <v>0</v>
      </c>
      <c r="MN4" s="17" t="b">
        <f>IFERROR(IF(AND(VLOOKUP(MN6,$NW$21:$NX$27,2,0)="Yes",NOT(ISNUMBER(VLOOKUP(DATE($A$2,$A$3+$A$1-1,MN5),HolidayList[Date],1,0)))),TRUE,FALSE),FALSE)</f>
        <v>0</v>
      </c>
      <c r="MO4" s="17" t="b">
        <f>IFERROR(IF(AND(VLOOKUP(MO6,$NW$21:$NX$27,2,0)="Yes",NOT(ISNUMBER(VLOOKUP(DATE($A$2,$A$3+$A$1-1,MO5),HolidayList[Date],1,0)))),TRUE,FALSE),FALSE)</f>
        <v>0</v>
      </c>
      <c r="MP4" s="17" t="b">
        <f>IFERROR(IF(AND(VLOOKUP(MP6,$NW$21:$NX$27,2,0)="Yes",NOT(ISNUMBER(VLOOKUP(DATE($A$2,$A$3+$A$1-1,MP5),HolidayList[Date],1,0)))),TRUE,FALSE),FALSE)</f>
        <v>0</v>
      </c>
      <c r="MQ4" s="17" t="b">
        <f>IFERROR(IF(AND(VLOOKUP(MQ6,$NW$21:$NX$27,2,0)="Yes",NOT(ISNUMBER(VLOOKUP(DATE($A$2,$A$3+$A$1-1,MQ5),HolidayList[Date],1,0)))),TRUE,FALSE),FALSE)</f>
        <v>0</v>
      </c>
      <c r="MR4" s="17" t="b">
        <f>IFERROR(IF(AND(VLOOKUP(MR6,$NW$21:$NX$27,2,0)="Yes",NOT(ISNUMBER(VLOOKUP(DATE($A$2,$A$3+$A$1-1,MR5),HolidayList[Date],1,0)))),TRUE,FALSE),FALSE)</f>
        <v>0</v>
      </c>
      <c r="MS4" s="17" t="b">
        <f>IFERROR(IF(AND(VLOOKUP(MS6,$NW$21:$NX$27,2,0)="Yes",NOT(ISNUMBER(VLOOKUP(DATE($A$2,$A$3+$A$1-1,MS5),HolidayList[Date],1,0)))),TRUE,FALSE),FALSE)</f>
        <v>0</v>
      </c>
      <c r="MT4" s="17" t="b">
        <f>IFERROR(IF(AND(VLOOKUP(MT6,$NW$21:$NX$27,2,0)="Yes",NOT(ISNUMBER(VLOOKUP(DATE($A$2,$A$3+$A$1-1,MT5),HolidayList[Date],1,0)))),TRUE,FALSE),FALSE)</f>
        <v>0</v>
      </c>
      <c r="MU4" s="17" t="b">
        <f>IFERROR(IF(AND(VLOOKUP(MU6,$NW$21:$NX$27,2,0)="Yes",NOT(ISNUMBER(VLOOKUP(DATE($A$2,$A$3+$A$1-1,MU5),HolidayList[Date],1,0)))),TRUE,FALSE),FALSE)</f>
        <v>0</v>
      </c>
      <c r="MV4" s="17" t="b">
        <f>IFERROR(IF(AND(VLOOKUP(MV6,$NW$21:$NX$27,2,0)="Yes",NOT(ISNUMBER(VLOOKUP(DATE($A$2,$A$3+$A$1-1,MV5),HolidayList[Date],1,0)))),TRUE,FALSE),FALSE)</f>
        <v>0</v>
      </c>
      <c r="MW4" s="17" t="b">
        <f>IFERROR(IF(AND(VLOOKUP(MW6,$NW$21:$NX$27,2,0)="Yes",NOT(ISNUMBER(VLOOKUP(DATE($A$2,$A$3+$A$1-1,MW5),HolidayList[Date],1,0)))),TRUE,FALSE),FALSE)</f>
        <v>0</v>
      </c>
      <c r="MX4" s="17" t="b">
        <f>IFERROR(IF(AND(VLOOKUP(MX6,$NW$21:$NX$27,2,0)="Yes",NOT(ISNUMBER(VLOOKUP(DATE($A$2,$A$3+$A$1-1,MX5),HolidayList[Date],1,0)))),TRUE,FALSE),FALSE)</f>
        <v>0</v>
      </c>
      <c r="MY4" s="17" t="b">
        <f>IFERROR(IF(AND(VLOOKUP(MY6,$NW$21:$NX$27,2,0)="Yes",NOT(ISNUMBER(VLOOKUP(DATE($A$2,$A$3+$A$1-1,MY5),HolidayList[Date],1,0)))),TRUE,FALSE),FALSE)</f>
        <v>0</v>
      </c>
      <c r="MZ4" s="17" t="b">
        <f>IFERROR(IF(AND(VLOOKUP(MZ6,$NW$21:$NX$27,2,0)="Yes",NOT(ISNUMBER(VLOOKUP(DATE($A$2,$A$3+$A$1-1,MZ5),HolidayList[Date],1,0)))),TRUE,FALSE),FALSE)</f>
        <v>0</v>
      </c>
      <c r="NA4" s="17" t="b">
        <f>IFERROR(IF(AND(VLOOKUP(NA6,$NW$21:$NX$27,2,0)="Yes",NOT(ISNUMBER(VLOOKUP(DATE($A$2,$A$3+$A$1-1,NA5),HolidayList[Date],1,0)))),TRUE,FALSE),FALSE)</f>
        <v>0</v>
      </c>
      <c r="NB4" s="17" t="b">
        <f>IFERROR(IF(AND(VLOOKUP(NB6,$NW$21:$NX$27,2,0)="Yes",NOT(ISNUMBER(VLOOKUP(DATE($A$2,$A$3+$A$1-1,NB5),HolidayList[Date],1,0)))),TRUE,FALSE),FALSE)</f>
        <v>0</v>
      </c>
      <c r="NC4" s="17" t="b">
        <f>IFERROR(IF(AND(VLOOKUP(NC6,$NW$21:$NX$27,2,0)="Yes",NOT(ISNUMBER(VLOOKUP(DATE($A$2,$A$3+$A$1-1,NC5),HolidayList[Date],1,0)))),TRUE,FALSE),FALSE)</f>
        <v>0</v>
      </c>
      <c r="ND4" s="17" t="b">
        <f>IFERROR(IF(AND(VLOOKUP(ND6,$NW$21:$NX$27,2,0)="Yes",NOT(ISNUMBER(VLOOKUP(DATE($A$2,$A$3+$A$1-1,ND5),HolidayList[Date],1,0)))),TRUE,FALSE),FALSE)</f>
        <v>0</v>
      </c>
      <c r="NE4" s="17" t="b">
        <f>IFERROR(IF(AND(VLOOKUP(NE6,$NW$21:$NX$27,2,0)="Yes",NOT(ISNUMBER(VLOOKUP(DATE($A$2,$A$3+$A$1-1,NE5),HolidayList[Date],1,0)))),TRUE,FALSE),FALSE)</f>
        <v>0</v>
      </c>
      <c r="NF4" s="17" t="b">
        <f>IFERROR(IF(AND(VLOOKUP(NF6,$NW$21:$NX$27,2,0)="Yes",NOT(ISNUMBER(VLOOKUP(DATE($A$2,$A$3+$A$1-1,NF5),HolidayList[Date],1,0)))),TRUE,FALSE),FALSE)</f>
        <v>0</v>
      </c>
      <c r="NG4" s="17" t="b">
        <f>IFERROR(IF(AND(VLOOKUP(NG6,$NW$21:$NX$27,2,0)="Yes",NOT(ISNUMBER(VLOOKUP(DATE($A$2,$A$3+$A$1-1,NG5),HolidayList[Date],1,0)))),TRUE,FALSE),FALSE)</f>
        <v>0</v>
      </c>
      <c r="NH4" s="17" t="b">
        <f>IFERROR(IF(AND(VLOOKUP(NH6,$NW$21:$NX$27,2,0)="Yes",NOT(ISNUMBER(VLOOKUP(DATE($A$2,$A$3+$A$1-1,NH5),HolidayList[Date],1,0)))),TRUE,FALSE),FALSE)</f>
        <v>0</v>
      </c>
      <c r="NI4" s="17" t="b">
        <f>IFERROR(IF(AND(VLOOKUP(NI6,$NW$21:$NX$27,2,0)="Yes",NOT(ISNUMBER(VLOOKUP(DATE($A$2,$A$3+$A$1-1,NI5),HolidayList[Date],1,0)))),TRUE,FALSE),FALSE)</f>
        <v>0</v>
      </c>
      <c r="NL4" s="31" t="s">
        <v>57</v>
      </c>
      <c r="NM4" s="31"/>
      <c r="NN4" s="31"/>
      <c r="NO4" s="31"/>
      <c r="NP4" s="31"/>
      <c r="NQ4" s="32"/>
      <c r="NR4" s="32"/>
      <c r="NS4" s="32"/>
      <c r="NT4" s="32"/>
      <c r="NU4" s="33"/>
    </row>
    <row r="5" spans="1:761" x14ac:dyDescent="0.3">
      <c r="A5" s="1"/>
      <c r="B5" s="8">
        <f>IF(AND((COLUMN()-1)&gt;31*($A$3-1),MONTH(DATE($A$2+INT(($A$3+$A$1)/12),IF((INT((COLUMN()-1)/31.001)+$A$1)&gt;12,(INT((COLUMN()-1)/31.001)+$A$1-12),INT((COLUMN()-1)/31.001)+$A$1),ROUNDUP(MOD(COLUMN()-1,31.001),0)))=ROUNDUP(MOD($A$1+$A$3-1,12.01),0)),ROUNDUP(MOD(COLUMN()-1,31.001),0),"")</f>
        <v>1</v>
      </c>
      <c r="C5" s="8">
        <f t="shared" ref="C5:BN5" si="0">IF(AND((COLUMN()-1)&gt;31*($A$3-1),MONTH(DATE($A$2+INT(($A$3+$A$1)/12),IF((INT((COLUMN()-1)/31.001)+$A$1)&gt;12,(INT((COLUMN()-1)/31.001)+$A$1-12),INT((COLUMN()-1)/31.001)+$A$1),ROUNDUP(MOD(COLUMN()-1,31.001),0)))=ROUNDUP(MOD($A$1+$A$3-1,12.01),0)),ROUNDUP(MOD(COLUMN()-1,31.001),0),"")</f>
        <v>2</v>
      </c>
      <c r="D5" s="8">
        <f t="shared" si="0"/>
        <v>3</v>
      </c>
      <c r="E5" s="8">
        <f t="shared" si="0"/>
        <v>4</v>
      </c>
      <c r="F5" s="8">
        <f t="shared" si="0"/>
        <v>5</v>
      </c>
      <c r="G5" s="8">
        <f t="shared" si="0"/>
        <v>6</v>
      </c>
      <c r="H5" s="8">
        <f t="shared" si="0"/>
        <v>7</v>
      </c>
      <c r="I5" s="8">
        <f t="shared" si="0"/>
        <v>8</v>
      </c>
      <c r="J5" s="8">
        <f t="shared" si="0"/>
        <v>9</v>
      </c>
      <c r="K5" s="8">
        <f t="shared" si="0"/>
        <v>10</v>
      </c>
      <c r="L5" s="8">
        <f t="shared" si="0"/>
        <v>11</v>
      </c>
      <c r="M5" s="8">
        <f t="shared" si="0"/>
        <v>12</v>
      </c>
      <c r="N5" s="8">
        <f t="shared" si="0"/>
        <v>13</v>
      </c>
      <c r="O5" s="8">
        <f t="shared" si="0"/>
        <v>14</v>
      </c>
      <c r="P5" s="8">
        <f t="shared" si="0"/>
        <v>15</v>
      </c>
      <c r="Q5" s="8">
        <f t="shared" si="0"/>
        <v>16</v>
      </c>
      <c r="R5" s="8">
        <f t="shared" si="0"/>
        <v>17</v>
      </c>
      <c r="S5" s="8">
        <f t="shared" si="0"/>
        <v>18</v>
      </c>
      <c r="T5" s="8">
        <f t="shared" si="0"/>
        <v>19</v>
      </c>
      <c r="U5" s="8">
        <f t="shared" si="0"/>
        <v>20</v>
      </c>
      <c r="V5" s="8">
        <f t="shared" si="0"/>
        <v>21</v>
      </c>
      <c r="W5" s="8">
        <f t="shared" si="0"/>
        <v>22</v>
      </c>
      <c r="X5" s="8">
        <f t="shared" si="0"/>
        <v>23</v>
      </c>
      <c r="Y5" s="8">
        <f t="shared" si="0"/>
        <v>24</v>
      </c>
      <c r="Z5" s="8">
        <f t="shared" si="0"/>
        <v>25</v>
      </c>
      <c r="AA5" s="8">
        <f t="shared" si="0"/>
        <v>26</v>
      </c>
      <c r="AB5" s="8">
        <f t="shared" si="0"/>
        <v>27</v>
      </c>
      <c r="AC5" s="8">
        <f t="shared" si="0"/>
        <v>28</v>
      </c>
      <c r="AD5" s="8">
        <f t="shared" si="0"/>
        <v>29</v>
      </c>
      <c r="AE5" s="8">
        <f t="shared" si="0"/>
        <v>30</v>
      </c>
      <c r="AF5" s="8">
        <f t="shared" si="0"/>
        <v>31</v>
      </c>
      <c r="AG5" s="8" t="str">
        <f t="shared" si="0"/>
        <v/>
      </c>
      <c r="AH5" s="8" t="str">
        <f t="shared" si="0"/>
        <v/>
      </c>
      <c r="AI5" s="8" t="str">
        <f t="shared" si="0"/>
        <v/>
      </c>
      <c r="AJ5" s="8" t="str">
        <f t="shared" si="0"/>
        <v/>
      </c>
      <c r="AK5" s="8" t="str">
        <f t="shared" si="0"/>
        <v/>
      </c>
      <c r="AL5" s="8" t="str">
        <f t="shared" si="0"/>
        <v/>
      </c>
      <c r="AM5" s="8" t="str">
        <f t="shared" si="0"/>
        <v/>
      </c>
      <c r="AN5" s="8" t="str">
        <f t="shared" si="0"/>
        <v/>
      </c>
      <c r="AO5" s="8" t="str">
        <f t="shared" si="0"/>
        <v/>
      </c>
      <c r="AP5" s="8" t="str">
        <f t="shared" si="0"/>
        <v/>
      </c>
      <c r="AQ5" s="8" t="str">
        <f t="shared" si="0"/>
        <v/>
      </c>
      <c r="AR5" s="8" t="str">
        <f t="shared" si="0"/>
        <v/>
      </c>
      <c r="AS5" s="8" t="str">
        <f t="shared" si="0"/>
        <v/>
      </c>
      <c r="AT5" s="8" t="str">
        <f t="shared" si="0"/>
        <v/>
      </c>
      <c r="AU5" s="8" t="str">
        <f t="shared" si="0"/>
        <v/>
      </c>
      <c r="AV5" s="8" t="str">
        <f t="shared" si="0"/>
        <v/>
      </c>
      <c r="AW5" s="8" t="str">
        <f t="shared" si="0"/>
        <v/>
      </c>
      <c r="AX5" s="8" t="str">
        <f t="shared" si="0"/>
        <v/>
      </c>
      <c r="AY5" s="8" t="str">
        <f t="shared" si="0"/>
        <v/>
      </c>
      <c r="AZ5" s="8" t="str">
        <f t="shared" si="0"/>
        <v/>
      </c>
      <c r="BA5" s="8" t="str">
        <f t="shared" si="0"/>
        <v/>
      </c>
      <c r="BB5" s="8" t="str">
        <f t="shared" si="0"/>
        <v/>
      </c>
      <c r="BC5" s="8" t="str">
        <f t="shared" si="0"/>
        <v/>
      </c>
      <c r="BD5" s="8" t="str">
        <f t="shared" si="0"/>
        <v/>
      </c>
      <c r="BE5" s="8" t="str">
        <f t="shared" si="0"/>
        <v/>
      </c>
      <c r="BF5" s="8" t="str">
        <f t="shared" si="0"/>
        <v/>
      </c>
      <c r="BG5" s="8" t="str">
        <f t="shared" si="0"/>
        <v/>
      </c>
      <c r="BH5" s="8" t="str">
        <f t="shared" si="0"/>
        <v/>
      </c>
      <c r="BI5" s="8" t="str">
        <f t="shared" si="0"/>
        <v/>
      </c>
      <c r="BJ5" s="8" t="str">
        <f t="shared" si="0"/>
        <v/>
      </c>
      <c r="BK5" s="8" t="str">
        <f t="shared" si="0"/>
        <v/>
      </c>
      <c r="BL5" s="8" t="str">
        <f t="shared" si="0"/>
        <v/>
      </c>
      <c r="BM5" s="8" t="str">
        <f t="shared" si="0"/>
        <v/>
      </c>
      <c r="BN5" s="8" t="str">
        <f t="shared" si="0"/>
        <v/>
      </c>
      <c r="BO5" s="8" t="str">
        <f t="shared" ref="BO5:DZ5" si="1">IF(AND((COLUMN()-1)&gt;31*($A$3-1),MONTH(DATE($A$2+INT(($A$3+$A$1)/12),IF((INT((COLUMN()-1)/31.001)+$A$1)&gt;12,(INT((COLUMN()-1)/31.001)+$A$1-12),INT((COLUMN()-1)/31.001)+$A$1),ROUNDUP(MOD(COLUMN()-1,31.001),0)))=ROUNDUP(MOD($A$1+$A$3-1,12.01),0)),ROUNDUP(MOD(COLUMN()-1,31.001),0),"")</f>
        <v/>
      </c>
      <c r="BP5" s="8" t="str">
        <f t="shared" si="1"/>
        <v/>
      </c>
      <c r="BQ5" s="8" t="str">
        <f t="shared" si="1"/>
        <v/>
      </c>
      <c r="BR5" s="8" t="str">
        <f t="shared" si="1"/>
        <v/>
      </c>
      <c r="BS5" s="8" t="str">
        <f t="shared" si="1"/>
        <v/>
      </c>
      <c r="BT5" s="8" t="str">
        <f t="shared" si="1"/>
        <v/>
      </c>
      <c r="BU5" s="8" t="str">
        <f t="shared" si="1"/>
        <v/>
      </c>
      <c r="BV5" s="8" t="str">
        <f t="shared" si="1"/>
        <v/>
      </c>
      <c r="BW5" s="8" t="str">
        <f t="shared" si="1"/>
        <v/>
      </c>
      <c r="BX5" s="8" t="str">
        <f t="shared" si="1"/>
        <v/>
      </c>
      <c r="BY5" s="8" t="str">
        <f t="shared" si="1"/>
        <v/>
      </c>
      <c r="BZ5" s="8" t="str">
        <f t="shared" si="1"/>
        <v/>
      </c>
      <c r="CA5" s="8" t="str">
        <f t="shared" si="1"/>
        <v/>
      </c>
      <c r="CB5" s="8" t="str">
        <f t="shared" si="1"/>
        <v/>
      </c>
      <c r="CC5" s="8" t="str">
        <f t="shared" si="1"/>
        <v/>
      </c>
      <c r="CD5" s="8" t="str">
        <f t="shared" si="1"/>
        <v/>
      </c>
      <c r="CE5" s="8" t="str">
        <f t="shared" si="1"/>
        <v/>
      </c>
      <c r="CF5" s="8" t="str">
        <f t="shared" si="1"/>
        <v/>
      </c>
      <c r="CG5" s="8" t="str">
        <f t="shared" si="1"/>
        <v/>
      </c>
      <c r="CH5" s="8" t="str">
        <f t="shared" si="1"/>
        <v/>
      </c>
      <c r="CI5" s="8" t="str">
        <f t="shared" si="1"/>
        <v/>
      </c>
      <c r="CJ5" s="8" t="str">
        <f t="shared" si="1"/>
        <v/>
      </c>
      <c r="CK5" s="8" t="str">
        <f t="shared" si="1"/>
        <v/>
      </c>
      <c r="CL5" s="8" t="str">
        <f t="shared" si="1"/>
        <v/>
      </c>
      <c r="CM5" s="8" t="str">
        <f t="shared" si="1"/>
        <v/>
      </c>
      <c r="CN5" s="8" t="str">
        <f t="shared" si="1"/>
        <v/>
      </c>
      <c r="CO5" s="8" t="str">
        <f t="shared" si="1"/>
        <v/>
      </c>
      <c r="CP5" s="8" t="str">
        <f t="shared" si="1"/>
        <v/>
      </c>
      <c r="CQ5" s="8" t="str">
        <f t="shared" si="1"/>
        <v/>
      </c>
      <c r="CR5" s="8" t="str">
        <f t="shared" si="1"/>
        <v/>
      </c>
      <c r="CS5" s="8" t="str">
        <f t="shared" si="1"/>
        <v/>
      </c>
      <c r="CT5" s="8" t="str">
        <f t="shared" si="1"/>
        <v/>
      </c>
      <c r="CU5" s="8" t="str">
        <f t="shared" si="1"/>
        <v/>
      </c>
      <c r="CV5" s="8" t="str">
        <f t="shared" si="1"/>
        <v/>
      </c>
      <c r="CW5" s="8" t="str">
        <f t="shared" si="1"/>
        <v/>
      </c>
      <c r="CX5" s="8" t="str">
        <f t="shared" si="1"/>
        <v/>
      </c>
      <c r="CY5" s="8" t="str">
        <f t="shared" si="1"/>
        <v/>
      </c>
      <c r="CZ5" s="8" t="str">
        <f t="shared" si="1"/>
        <v/>
      </c>
      <c r="DA5" s="8" t="str">
        <f t="shared" si="1"/>
        <v/>
      </c>
      <c r="DB5" s="8" t="str">
        <f t="shared" si="1"/>
        <v/>
      </c>
      <c r="DC5" s="8" t="str">
        <f t="shared" si="1"/>
        <v/>
      </c>
      <c r="DD5" s="8" t="str">
        <f t="shared" si="1"/>
        <v/>
      </c>
      <c r="DE5" s="8" t="str">
        <f t="shared" si="1"/>
        <v/>
      </c>
      <c r="DF5" s="8" t="str">
        <f t="shared" si="1"/>
        <v/>
      </c>
      <c r="DG5" s="8" t="str">
        <f t="shared" si="1"/>
        <v/>
      </c>
      <c r="DH5" s="8" t="str">
        <f t="shared" si="1"/>
        <v/>
      </c>
      <c r="DI5" s="8" t="str">
        <f t="shared" si="1"/>
        <v/>
      </c>
      <c r="DJ5" s="8" t="str">
        <f t="shared" si="1"/>
        <v/>
      </c>
      <c r="DK5" s="8" t="str">
        <f t="shared" si="1"/>
        <v/>
      </c>
      <c r="DL5" s="8" t="str">
        <f t="shared" si="1"/>
        <v/>
      </c>
      <c r="DM5" s="8" t="str">
        <f t="shared" si="1"/>
        <v/>
      </c>
      <c r="DN5" s="8" t="str">
        <f t="shared" si="1"/>
        <v/>
      </c>
      <c r="DO5" s="8" t="str">
        <f t="shared" si="1"/>
        <v/>
      </c>
      <c r="DP5" s="8" t="str">
        <f t="shared" si="1"/>
        <v/>
      </c>
      <c r="DQ5" s="8" t="str">
        <f t="shared" si="1"/>
        <v/>
      </c>
      <c r="DR5" s="8" t="str">
        <f t="shared" si="1"/>
        <v/>
      </c>
      <c r="DS5" s="8" t="str">
        <f t="shared" si="1"/>
        <v/>
      </c>
      <c r="DT5" s="8" t="str">
        <f t="shared" si="1"/>
        <v/>
      </c>
      <c r="DU5" s="8" t="str">
        <f t="shared" si="1"/>
        <v/>
      </c>
      <c r="DV5" s="8" t="str">
        <f t="shared" si="1"/>
        <v/>
      </c>
      <c r="DW5" s="8" t="str">
        <f t="shared" si="1"/>
        <v/>
      </c>
      <c r="DX5" s="8" t="str">
        <f t="shared" si="1"/>
        <v/>
      </c>
      <c r="DY5" s="8" t="str">
        <f t="shared" si="1"/>
        <v/>
      </c>
      <c r="DZ5" s="8" t="str">
        <f t="shared" si="1"/>
        <v/>
      </c>
      <c r="EA5" s="8" t="str">
        <f t="shared" ref="EA5:GL5" si="2">IF(AND((COLUMN()-1)&gt;31*($A$3-1),MONTH(DATE($A$2+INT(($A$3+$A$1)/12),IF((INT((COLUMN()-1)/31.001)+$A$1)&gt;12,(INT((COLUMN()-1)/31.001)+$A$1-12),INT((COLUMN()-1)/31.001)+$A$1),ROUNDUP(MOD(COLUMN()-1,31.001),0)))=ROUNDUP(MOD($A$1+$A$3-1,12.01),0)),ROUNDUP(MOD(COLUMN()-1,31.001),0),"")</f>
        <v/>
      </c>
      <c r="EB5" s="8" t="str">
        <f t="shared" si="2"/>
        <v/>
      </c>
      <c r="EC5" s="8" t="str">
        <f t="shared" si="2"/>
        <v/>
      </c>
      <c r="ED5" s="8" t="str">
        <f t="shared" si="2"/>
        <v/>
      </c>
      <c r="EE5" s="8" t="str">
        <f t="shared" si="2"/>
        <v/>
      </c>
      <c r="EF5" s="8" t="str">
        <f t="shared" si="2"/>
        <v/>
      </c>
      <c r="EG5" s="8" t="str">
        <f t="shared" si="2"/>
        <v/>
      </c>
      <c r="EH5" s="8" t="str">
        <f t="shared" si="2"/>
        <v/>
      </c>
      <c r="EI5" s="8" t="str">
        <f t="shared" si="2"/>
        <v/>
      </c>
      <c r="EJ5" s="8" t="str">
        <f t="shared" si="2"/>
        <v/>
      </c>
      <c r="EK5" s="8" t="str">
        <f t="shared" si="2"/>
        <v/>
      </c>
      <c r="EL5" s="8" t="str">
        <f t="shared" si="2"/>
        <v/>
      </c>
      <c r="EM5" s="8" t="str">
        <f t="shared" si="2"/>
        <v/>
      </c>
      <c r="EN5" s="8" t="str">
        <f t="shared" si="2"/>
        <v/>
      </c>
      <c r="EO5" s="8" t="str">
        <f t="shared" si="2"/>
        <v/>
      </c>
      <c r="EP5" s="8" t="str">
        <f t="shared" si="2"/>
        <v/>
      </c>
      <c r="EQ5" s="8" t="str">
        <f t="shared" si="2"/>
        <v/>
      </c>
      <c r="ER5" s="8" t="str">
        <f t="shared" si="2"/>
        <v/>
      </c>
      <c r="ES5" s="8" t="str">
        <f t="shared" si="2"/>
        <v/>
      </c>
      <c r="ET5" s="8" t="str">
        <f t="shared" si="2"/>
        <v/>
      </c>
      <c r="EU5" s="8" t="str">
        <f t="shared" si="2"/>
        <v/>
      </c>
      <c r="EV5" s="8" t="str">
        <f t="shared" si="2"/>
        <v/>
      </c>
      <c r="EW5" s="8" t="str">
        <f t="shared" si="2"/>
        <v/>
      </c>
      <c r="EX5" s="8" t="str">
        <f t="shared" si="2"/>
        <v/>
      </c>
      <c r="EY5" s="8" t="str">
        <f t="shared" si="2"/>
        <v/>
      </c>
      <c r="EZ5" s="8" t="str">
        <f t="shared" si="2"/>
        <v/>
      </c>
      <c r="FA5" s="8" t="str">
        <f t="shared" si="2"/>
        <v/>
      </c>
      <c r="FB5" s="8" t="str">
        <f t="shared" si="2"/>
        <v/>
      </c>
      <c r="FC5" s="8" t="str">
        <f t="shared" si="2"/>
        <v/>
      </c>
      <c r="FD5" s="8" t="str">
        <f t="shared" si="2"/>
        <v/>
      </c>
      <c r="FE5" s="8" t="str">
        <f t="shared" si="2"/>
        <v/>
      </c>
      <c r="FF5" s="8" t="str">
        <f t="shared" si="2"/>
        <v/>
      </c>
      <c r="FG5" s="8" t="str">
        <f t="shared" si="2"/>
        <v/>
      </c>
      <c r="FH5" s="8" t="str">
        <f t="shared" si="2"/>
        <v/>
      </c>
      <c r="FI5" s="8" t="str">
        <f t="shared" si="2"/>
        <v/>
      </c>
      <c r="FJ5" s="8" t="str">
        <f t="shared" si="2"/>
        <v/>
      </c>
      <c r="FK5" s="8" t="str">
        <f t="shared" si="2"/>
        <v/>
      </c>
      <c r="FL5" s="8" t="str">
        <f t="shared" si="2"/>
        <v/>
      </c>
      <c r="FM5" s="8" t="str">
        <f t="shared" si="2"/>
        <v/>
      </c>
      <c r="FN5" s="8" t="str">
        <f t="shared" si="2"/>
        <v/>
      </c>
      <c r="FO5" s="8" t="str">
        <f t="shared" si="2"/>
        <v/>
      </c>
      <c r="FP5" s="8" t="str">
        <f t="shared" si="2"/>
        <v/>
      </c>
      <c r="FQ5" s="8" t="str">
        <f t="shared" si="2"/>
        <v/>
      </c>
      <c r="FR5" s="8" t="str">
        <f t="shared" si="2"/>
        <v/>
      </c>
      <c r="FS5" s="8" t="str">
        <f t="shared" si="2"/>
        <v/>
      </c>
      <c r="FT5" s="8" t="str">
        <f t="shared" si="2"/>
        <v/>
      </c>
      <c r="FU5" s="8" t="str">
        <f t="shared" si="2"/>
        <v/>
      </c>
      <c r="FV5" s="8" t="str">
        <f t="shared" si="2"/>
        <v/>
      </c>
      <c r="FW5" s="8" t="str">
        <f t="shared" si="2"/>
        <v/>
      </c>
      <c r="FX5" s="8" t="str">
        <f t="shared" si="2"/>
        <v/>
      </c>
      <c r="FY5" s="8" t="str">
        <f t="shared" si="2"/>
        <v/>
      </c>
      <c r="FZ5" s="8" t="str">
        <f t="shared" si="2"/>
        <v/>
      </c>
      <c r="GA5" s="8" t="str">
        <f t="shared" si="2"/>
        <v/>
      </c>
      <c r="GB5" s="8" t="str">
        <f t="shared" si="2"/>
        <v/>
      </c>
      <c r="GC5" s="8" t="str">
        <f t="shared" si="2"/>
        <v/>
      </c>
      <c r="GD5" s="8" t="str">
        <f t="shared" si="2"/>
        <v/>
      </c>
      <c r="GE5" s="8" t="str">
        <f t="shared" si="2"/>
        <v/>
      </c>
      <c r="GF5" s="8" t="str">
        <f t="shared" si="2"/>
        <v/>
      </c>
      <c r="GG5" s="8" t="str">
        <f t="shared" si="2"/>
        <v/>
      </c>
      <c r="GH5" s="8" t="str">
        <f t="shared" si="2"/>
        <v/>
      </c>
      <c r="GI5" s="8" t="str">
        <f t="shared" si="2"/>
        <v/>
      </c>
      <c r="GJ5" s="8" t="str">
        <f t="shared" si="2"/>
        <v/>
      </c>
      <c r="GK5" s="8" t="str">
        <f t="shared" si="2"/>
        <v/>
      </c>
      <c r="GL5" s="8" t="str">
        <f t="shared" si="2"/>
        <v/>
      </c>
      <c r="GM5" s="8" t="str">
        <f t="shared" ref="GM5:IX5" si="3">IF(AND((COLUMN()-1)&gt;31*($A$3-1),MONTH(DATE($A$2+INT(($A$3+$A$1)/12),IF((INT((COLUMN()-1)/31.001)+$A$1)&gt;12,(INT((COLUMN()-1)/31.001)+$A$1-12),INT((COLUMN()-1)/31.001)+$A$1),ROUNDUP(MOD(COLUMN()-1,31.001),0)))=ROUNDUP(MOD($A$1+$A$3-1,12.01),0)),ROUNDUP(MOD(COLUMN()-1,31.001),0),"")</f>
        <v/>
      </c>
      <c r="GN5" s="8" t="str">
        <f t="shared" si="3"/>
        <v/>
      </c>
      <c r="GO5" s="8" t="str">
        <f t="shared" si="3"/>
        <v/>
      </c>
      <c r="GP5" s="8" t="str">
        <f t="shared" si="3"/>
        <v/>
      </c>
      <c r="GQ5" s="8" t="str">
        <f t="shared" si="3"/>
        <v/>
      </c>
      <c r="GR5" s="8" t="str">
        <f t="shared" si="3"/>
        <v/>
      </c>
      <c r="GS5" s="8" t="str">
        <f t="shared" si="3"/>
        <v/>
      </c>
      <c r="GT5" s="8" t="str">
        <f t="shared" si="3"/>
        <v/>
      </c>
      <c r="GU5" s="8" t="str">
        <f t="shared" si="3"/>
        <v/>
      </c>
      <c r="GV5" s="8" t="str">
        <f t="shared" si="3"/>
        <v/>
      </c>
      <c r="GW5" s="8" t="str">
        <f t="shared" si="3"/>
        <v/>
      </c>
      <c r="GX5" s="8" t="str">
        <f t="shared" si="3"/>
        <v/>
      </c>
      <c r="GY5" s="8" t="str">
        <f t="shared" si="3"/>
        <v/>
      </c>
      <c r="GZ5" s="8" t="str">
        <f t="shared" si="3"/>
        <v/>
      </c>
      <c r="HA5" s="8" t="str">
        <f t="shared" si="3"/>
        <v/>
      </c>
      <c r="HB5" s="8" t="str">
        <f t="shared" si="3"/>
        <v/>
      </c>
      <c r="HC5" s="8" t="str">
        <f t="shared" si="3"/>
        <v/>
      </c>
      <c r="HD5" s="8" t="str">
        <f t="shared" si="3"/>
        <v/>
      </c>
      <c r="HE5" s="8" t="str">
        <f t="shared" si="3"/>
        <v/>
      </c>
      <c r="HF5" s="8" t="str">
        <f t="shared" si="3"/>
        <v/>
      </c>
      <c r="HG5" s="8" t="str">
        <f t="shared" si="3"/>
        <v/>
      </c>
      <c r="HH5" s="8" t="str">
        <f t="shared" si="3"/>
        <v/>
      </c>
      <c r="HI5" s="8" t="str">
        <f t="shared" si="3"/>
        <v/>
      </c>
      <c r="HJ5" s="8" t="str">
        <f t="shared" si="3"/>
        <v/>
      </c>
      <c r="HK5" s="8" t="str">
        <f t="shared" si="3"/>
        <v/>
      </c>
      <c r="HL5" s="8" t="str">
        <f t="shared" si="3"/>
        <v/>
      </c>
      <c r="HM5" s="8" t="str">
        <f t="shared" si="3"/>
        <v/>
      </c>
      <c r="HN5" s="8" t="str">
        <f t="shared" si="3"/>
        <v/>
      </c>
      <c r="HO5" s="8" t="str">
        <f t="shared" si="3"/>
        <v/>
      </c>
      <c r="HP5" s="8" t="str">
        <f t="shared" si="3"/>
        <v/>
      </c>
      <c r="HQ5" s="8" t="str">
        <f t="shared" si="3"/>
        <v/>
      </c>
      <c r="HR5" s="8" t="str">
        <f t="shared" si="3"/>
        <v/>
      </c>
      <c r="HS5" s="8" t="str">
        <f t="shared" si="3"/>
        <v/>
      </c>
      <c r="HT5" s="8" t="str">
        <f t="shared" si="3"/>
        <v/>
      </c>
      <c r="HU5" s="8" t="str">
        <f t="shared" si="3"/>
        <v/>
      </c>
      <c r="HV5" s="8" t="str">
        <f t="shared" si="3"/>
        <v/>
      </c>
      <c r="HW5" s="8" t="str">
        <f t="shared" si="3"/>
        <v/>
      </c>
      <c r="HX5" s="8" t="str">
        <f t="shared" si="3"/>
        <v/>
      </c>
      <c r="HY5" s="8" t="str">
        <f t="shared" si="3"/>
        <v/>
      </c>
      <c r="HZ5" s="8" t="str">
        <f t="shared" si="3"/>
        <v/>
      </c>
      <c r="IA5" s="8" t="str">
        <f t="shared" si="3"/>
        <v/>
      </c>
      <c r="IB5" s="8" t="str">
        <f t="shared" si="3"/>
        <v/>
      </c>
      <c r="IC5" s="8" t="str">
        <f t="shared" si="3"/>
        <v/>
      </c>
      <c r="ID5" s="8" t="str">
        <f t="shared" si="3"/>
        <v/>
      </c>
      <c r="IE5" s="8" t="str">
        <f t="shared" si="3"/>
        <v/>
      </c>
      <c r="IF5" s="8" t="str">
        <f t="shared" si="3"/>
        <v/>
      </c>
      <c r="IG5" s="8" t="str">
        <f t="shared" si="3"/>
        <v/>
      </c>
      <c r="IH5" s="8" t="str">
        <f t="shared" si="3"/>
        <v/>
      </c>
      <c r="II5" s="8" t="str">
        <f t="shared" si="3"/>
        <v/>
      </c>
      <c r="IJ5" s="8" t="str">
        <f t="shared" si="3"/>
        <v/>
      </c>
      <c r="IK5" s="8" t="str">
        <f t="shared" si="3"/>
        <v/>
      </c>
      <c r="IL5" s="8" t="str">
        <f t="shared" si="3"/>
        <v/>
      </c>
      <c r="IM5" s="8" t="str">
        <f t="shared" si="3"/>
        <v/>
      </c>
      <c r="IN5" s="8" t="str">
        <f t="shared" si="3"/>
        <v/>
      </c>
      <c r="IO5" s="8" t="str">
        <f t="shared" si="3"/>
        <v/>
      </c>
      <c r="IP5" s="8" t="str">
        <f t="shared" si="3"/>
        <v/>
      </c>
      <c r="IQ5" s="8" t="str">
        <f t="shared" si="3"/>
        <v/>
      </c>
      <c r="IR5" s="8" t="str">
        <f t="shared" si="3"/>
        <v/>
      </c>
      <c r="IS5" s="8" t="str">
        <f t="shared" si="3"/>
        <v/>
      </c>
      <c r="IT5" s="8" t="str">
        <f t="shared" si="3"/>
        <v/>
      </c>
      <c r="IU5" s="8" t="str">
        <f t="shared" si="3"/>
        <v/>
      </c>
      <c r="IV5" s="8" t="str">
        <f t="shared" si="3"/>
        <v/>
      </c>
      <c r="IW5" s="8" t="str">
        <f t="shared" si="3"/>
        <v/>
      </c>
      <c r="IX5" s="8" t="str">
        <f t="shared" si="3"/>
        <v/>
      </c>
      <c r="IY5" s="8" t="str">
        <f t="shared" ref="IY5:LJ5" si="4">IF(AND((COLUMN()-1)&gt;31*($A$3-1),MONTH(DATE($A$2+INT(($A$3+$A$1)/12),IF((INT((COLUMN()-1)/31.001)+$A$1)&gt;12,(INT((COLUMN()-1)/31.001)+$A$1-12),INT((COLUMN()-1)/31.001)+$A$1),ROUNDUP(MOD(COLUMN()-1,31.001),0)))=ROUNDUP(MOD($A$1+$A$3-1,12.01),0)),ROUNDUP(MOD(COLUMN()-1,31.001),0),"")</f>
        <v/>
      </c>
      <c r="IZ5" s="8" t="str">
        <f t="shared" si="4"/>
        <v/>
      </c>
      <c r="JA5" s="8" t="str">
        <f t="shared" si="4"/>
        <v/>
      </c>
      <c r="JB5" s="8" t="str">
        <f t="shared" si="4"/>
        <v/>
      </c>
      <c r="JC5" s="8" t="str">
        <f t="shared" si="4"/>
        <v/>
      </c>
      <c r="JD5" s="8" t="str">
        <f t="shared" si="4"/>
        <v/>
      </c>
      <c r="JE5" s="8" t="str">
        <f t="shared" si="4"/>
        <v/>
      </c>
      <c r="JF5" s="8" t="str">
        <f t="shared" si="4"/>
        <v/>
      </c>
      <c r="JG5" s="8" t="str">
        <f t="shared" si="4"/>
        <v/>
      </c>
      <c r="JH5" s="8" t="str">
        <f t="shared" si="4"/>
        <v/>
      </c>
      <c r="JI5" s="8" t="str">
        <f t="shared" si="4"/>
        <v/>
      </c>
      <c r="JJ5" s="8" t="str">
        <f t="shared" si="4"/>
        <v/>
      </c>
      <c r="JK5" s="8" t="str">
        <f t="shared" si="4"/>
        <v/>
      </c>
      <c r="JL5" s="8" t="str">
        <f t="shared" si="4"/>
        <v/>
      </c>
      <c r="JM5" s="8" t="str">
        <f t="shared" si="4"/>
        <v/>
      </c>
      <c r="JN5" s="8" t="str">
        <f t="shared" si="4"/>
        <v/>
      </c>
      <c r="JO5" s="8" t="str">
        <f t="shared" si="4"/>
        <v/>
      </c>
      <c r="JP5" s="8" t="str">
        <f t="shared" si="4"/>
        <v/>
      </c>
      <c r="JQ5" s="8" t="str">
        <f t="shared" si="4"/>
        <v/>
      </c>
      <c r="JR5" s="8" t="str">
        <f t="shared" si="4"/>
        <v/>
      </c>
      <c r="JS5" s="8" t="str">
        <f t="shared" si="4"/>
        <v/>
      </c>
      <c r="JT5" s="8" t="str">
        <f t="shared" si="4"/>
        <v/>
      </c>
      <c r="JU5" s="8" t="str">
        <f t="shared" si="4"/>
        <v/>
      </c>
      <c r="JV5" s="8" t="str">
        <f t="shared" si="4"/>
        <v/>
      </c>
      <c r="JW5" s="8" t="str">
        <f t="shared" si="4"/>
        <v/>
      </c>
      <c r="JX5" s="8" t="str">
        <f t="shared" si="4"/>
        <v/>
      </c>
      <c r="JY5" s="8" t="str">
        <f t="shared" si="4"/>
        <v/>
      </c>
      <c r="JZ5" s="8" t="str">
        <f t="shared" si="4"/>
        <v/>
      </c>
      <c r="KA5" s="8" t="str">
        <f t="shared" si="4"/>
        <v/>
      </c>
      <c r="KB5" s="8" t="str">
        <f t="shared" si="4"/>
        <v/>
      </c>
      <c r="KC5" s="8" t="str">
        <f t="shared" si="4"/>
        <v/>
      </c>
      <c r="KD5" s="8" t="str">
        <f t="shared" si="4"/>
        <v/>
      </c>
      <c r="KE5" s="8" t="str">
        <f t="shared" si="4"/>
        <v/>
      </c>
      <c r="KF5" s="8" t="str">
        <f t="shared" si="4"/>
        <v/>
      </c>
      <c r="KG5" s="8" t="str">
        <f t="shared" si="4"/>
        <v/>
      </c>
      <c r="KH5" s="8" t="str">
        <f t="shared" si="4"/>
        <v/>
      </c>
      <c r="KI5" s="8" t="str">
        <f t="shared" si="4"/>
        <v/>
      </c>
      <c r="KJ5" s="8" t="str">
        <f t="shared" si="4"/>
        <v/>
      </c>
      <c r="KK5" s="8" t="str">
        <f t="shared" si="4"/>
        <v/>
      </c>
      <c r="KL5" s="8" t="str">
        <f t="shared" si="4"/>
        <v/>
      </c>
      <c r="KM5" s="8" t="str">
        <f t="shared" si="4"/>
        <v/>
      </c>
      <c r="KN5" s="8" t="str">
        <f t="shared" si="4"/>
        <v/>
      </c>
      <c r="KO5" s="8" t="str">
        <f t="shared" si="4"/>
        <v/>
      </c>
      <c r="KP5" s="8" t="str">
        <f t="shared" si="4"/>
        <v/>
      </c>
      <c r="KQ5" s="8" t="str">
        <f t="shared" si="4"/>
        <v/>
      </c>
      <c r="KR5" s="8" t="str">
        <f t="shared" si="4"/>
        <v/>
      </c>
      <c r="KS5" s="8" t="str">
        <f t="shared" si="4"/>
        <v/>
      </c>
      <c r="KT5" s="8" t="str">
        <f t="shared" si="4"/>
        <v/>
      </c>
      <c r="KU5" s="8" t="str">
        <f t="shared" si="4"/>
        <v/>
      </c>
      <c r="KV5" s="8" t="str">
        <f t="shared" si="4"/>
        <v/>
      </c>
      <c r="KW5" s="8" t="str">
        <f t="shared" si="4"/>
        <v/>
      </c>
      <c r="KX5" s="8" t="str">
        <f t="shared" si="4"/>
        <v/>
      </c>
      <c r="KY5" s="8" t="str">
        <f t="shared" si="4"/>
        <v/>
      </c>
      <c r="KZ5" s="8" t="str">
        <f t="shared" si="4"/>
        <v/>
      </c>
      <c r="LA5" s="8" t="str">
        <f t="shared" si="4"/>
        <v/>
      </c>
      <c r="LB5" s="8" t="str">
        <f t="shared" si="4"/>
        <v/>
      </c>
      <c r="LC5" s="8" t="str">
        <f t="shared" si="4"/>
        <v/>
      </c>
      <c r="LD5" s="8" t="str">
        <f t="shared" si="4"/>
        <v/>
      </c>
      <c r="LE5" s="8" t="str">
        <f t="shared" si="4"/>
        <v/>
      </c>
      <c r="LF5" s="8" t="str">
        <f t="shared" si="4"/>
        <v/>
      </c>
      <c r="LG5" s="8" t="str">
        <f t="shared" si="4"/>
        <v/>
      </c>
      <c r="LH5" s="8" t="str">
        <f t="shared" si="4"/>
        <v/>
      </c>
      <c r="LI5" s="8" t="str">
        <f t="shared" si="4"/>
        <v/>
      </c>
      <c r="LJ5" s="8" t="str">
        <f t="shared" si="4"/>
        <v/>
      </c>
      <c r="LK5" s="8" t="str">
        <f t="shared" ref="LK5:NI5" si="5">IF(AND((COLUMN()-1)&gt;31*($A$3-1),MONTH(DATE($A$2+INT(($A$3+$A$1)/12),IF((INT((COLUMN()-1)/31.001)+$A$1)&gt;12,(INT((COLUMN()-1)/31.001)+$A$1-12),INT((COLUMN()-1)/31.001)+$A$1),ROUNDUP(MOD(COLUMN()-1,31.001),0)))=ROUNDUP(MOD($A$1+$A$3-1,12.01),0)),ROUNDUP(MOD(COLUMN()-1,31.001),0),"")</f>
        <v/>
      </c>
      <c r="LL5" s="8" t="str">
        <f t="shared" si="5"/>
        <v/>
      </c>
      <c r="LM5" s="8" t="str">
        <f t="shared" si="5"/>
        <v/>
      </c>
      <c r="LN5" s="8" t="str">
        <f t="shared" si="5"/>
        <v/>
      </c>
      <c r="LO5" s="8" t="str">
        <f t="shared" si="5"/>
        <v/>
      </c>
      <c r="LP5" s="8" t="str">
        <f t="shared" si="5"/>
        <v/>
      </c>
      <c r="LQ5" s="8" t="str">
        <f t="shared" si="5"/>
        <v/>
      </c>
      <c r="LR5" s="8" t="str">
        <f t="shared" si="5"/>
        <v/>
      </c>
      <c r="LS5" s="8" t="str">
        <f t="shared" si="5"/>
        <v/>
      </c>
      <c r="LT5" s="8" t="str">
        <f t="shared" si="5"/>
        <v/>
      </c>
      <c r="LU5" s="8" t="str">
        <f t="shared" si="5"/>
        <v/>
      </c>
      <c r="LV5" s="8" t="str">
        <f t="shared" si="5"/>
        <v/>
      </c>
      <c r="LW5" s="8" t="str">
        <f t="shared" si="5"/>
        <v/>
      </c>
      <c r="LX5" s="8" t="str">
        <f t="shared" si="5"/>
        <v/>
      </c>
      <c r="LY5" s="8" t="str">
        <f t="shared" si="5"/>
        <v/>
      </c>
      <c r="LZ5" s="8" t="str">
        <f t="shared" si="5"/>
        <v/>
      </c>
      <c r="MA5" s="8" t="str">
        <f t="shared" si="5"/>
        <v/>
      </c>
      <c r="MB5" s="8" t="str">
        <f t="shared" si="5"/>
        <v/>
      </c>
      <c r="MC5" s="8" t="str">
        <f t="shared" si="5"/>
        <v/>
      </c>
      <c r="MD5" s="8" t="str">
        <f t="shared" si="5"/>
        <v/>
      </c>
      <c r="ME5" s="8" t="str">
        <f t="shared" si="5"/>
        <v/>
      </c>
      <c r="MF5" s="8" t="str">
        <f t="shared" si="5"/>
        <v/>
      </c>
      <c r="MG5" s="8" t="str">
        <f t="shared" si="5"/>
        <v/>
      </c>
      <c r="MH5" s="8" t="str">
        <f t="shared" si="5"/>
        <v/>
      </c>
      <c r="MI5" s="8" t="str">
        <f t="shared" si="5"/>
        <v/>
      </c>
      <c r="MJ5" s="8" t="str">
        <f t="shared" si="5"/>
        <v/>
      </c>
      <c r="MK5" s="8" t="str">
        <f t="shared" si="5"/>
        <v/>
      </c>
      <c r="ML5" s="8" t="str">
        <f t="shared" si="5"/>
        <v/>
      </c>
      <c r="MM5" s="8" t="str">
        <f t="shared" si="5"/>
        <v/>
      </c>
      <c r="MN5" s="8" t="str">
        <f t="shared" si="5"/>
        <v/>
      </c>
      <c r="MO5" s="8" t="str">
        <f t="shared" si="5"/>
        <v/>
      </c>
      <c r="MP5" s="8" t="str">
        <f t="shared" si="5"/>
        <v/>
      </c>
      <c r="MQ5" s="8" t="str">
        <f t="shared" si="5"/>
        <v/>
      </c>
      <c r="MR5" s="8" t="str">
        <f t="shared" si="5"/>
        <v/>
      </c>
      <c r="MS5" s="8" t="str">
        <f t="shared" si="5"/>
        <v/>
      </c>
      <c r="MT5" s="8" t="str">
        <f t="shared" si="5"/>
        <v/>
      </c>
      <c r="MU5" s="8" t="str">
        <f t="shared" si="5"/>
        <v/>
      </c>
      <c r="MV5" s="8" t="str">
        <f t="shared" si="5"/>
        <v/>
      </c>
      <c r="MW5" s="8" t="str">
        <f t="shared" si="5"/>
        <v/>
      </c>
      <c r="MX5" s="8" t="str">
        <f t="shared" si="5"/>
        <v/>
      </c>
      <c r="MY5" s="8" t="str">
        <f t="shared" si="5"/>
        <v/>
      </c>
      <c r="MZ5" s="8" t="str">
        <f t="shared" si="5"/>
        <v/>
      </c>
      <c r="NA5" s="8" t="str">
        <f t="shared" si="5"/>
        <v/>
      </c>
      <c r="NB5" s="8" t="str">
        <f t="shared" si="5"/>
        <v/>
      </c>
      <c r="NC5" s="8" t="str">
        <f t="shared" si="5"/>
        <v/>
      </c>
      <c r="ND5" s="8" t="str">
        <f t="shared" si="5"/>
        <v/>
      </c>
      <c r="NE5" s="8" t="str">
        <f t="shared" si="5"/>
        <v/>
      </c>
      <c r="NF5" s="8" t="str">
        <f t="shared" si="5"/>
        <v/>
      </c>
      <c r="NG5" s="8" t="str">
        <f t="shared" si="5"/>
        <v/>
      </c>
      <c r="NH5" s="8" t="str">
        <f t="shared" si="5"/>
        <v/>
      </c>
      <c r="NI5" s="8" t="str">
        <f t="shared" si="5"/>
        <v/>
      </c>
      <c r="NJ5" s="39" t="s">
        <v>55</v>
      </c>
      <c r="NK5" s="41" t="s">
        <v>56</v>
      </c>
      <c r="NL5" s="37" t="s">
        <v>36</v>
      </c>
      <c r="NM5" s="37" t="s">
        <v>37</v>
      </c>
      <c r="NN5" s="37" t="s">
        <v>38</v>
      </c>
      <c r="NO5" s="37" t="s">
        <v>71</v>
      </c>
      <c r="NP5" s="36" t="s">
        <v>39</v>
      </c>
      <c r="NQ5" s="36" t="s">
        <v>75</v>
      </c>
      <c r="NR5" s="36" t="s">
        <v>76</v>
      </c>
      <c r="NS5" s="36" t="s">
        <v>78</v>
      </c>
      <c r="NT5" s="36" t="s">
        <v>68</v>
      </c>
      <c r="NU5" s="36" t="s">
        <v>69</v>
      </c>
    </row>
    <row r="6" spans="1:761" x14ac:dyDescent="0.3">
      <c r="A6" s="4" t="s">
        <v>50</v>
      </c>
      <c r="B6" s="10" t="str">
        <f>IF(B$5="","",VLOOKUP(WEEKDAY(DATE($A$2,$A$3+$A$1-1,B5),2),Sheet3!$D$1:$E$7,2,0))</f>
        <v>Mon</v>
      </c>
      <c r="C6" s="10" t="str">
        <f>IF(C$5="","",VLOOKUP(WEEKDAY(DATE($A$2,$A$3+$A$1-1,C5),2),Sheet3!$D$1:$E$7,2,0))</f>
        <v>Tue</v>
      </c>
      <c r="D6" s="10" t="str">
        <f>IF(D$5="","",VLOOKUP(WEEKDAY(DATE($A$2,$A$3+$A$1-1,D5),2),Sheet3!$D$1:$E$7,2,0))</f>
        <v>Wed</v>
      </c>
      <c r="E6" s="10" t="str">
        <f>IF(E$5="","",VLOOKUP(WEEKDAY(DATE($A$2,$A$3+$A$1-1,E5),2),Sheet3!$D$1:$E$7,2,0))</f>
        <v>Thu</v>
      </c>
      <c r="F6" s="10" t="str">
        <f>IF(F$5="","",VLOOKUP(WEEKDAY(DATE($A$2,$A$3+$A$1-1,F5),2),Sheet3!$D$1:$E$7,2,0))</f>
        <v>Fri</v>
      </c>
      <c r="G6" s="10" t="str">
        <f>IF(G$5="","",VLOOKUP(WEEKDAY(DATE($A$2,$A$3+$A$1-1,G5),2),Sheet3!$D$1:$E$7,2,0))</f>
        <v>Sat</v>
      </c>
      <c r="H6" s="10" t="str">
        <f>IF(H$5="","",VLOOKUP(WEEKDAY(DATE($A$2,$A$3+$A$1-1,H5),2),Sheet3!$D$1:$E$7,2,0))</f>
        <v>Sun</v>
      </c>
      <c r="I6" s="10" t="str">
        <f>IF(I$5="","",VLOOKUP(WEEKDAY(DATE($A$2,$A$3+$A$1-1,I5),2),Sheet3!$D$1:$E$7,2,0))</f>
        <v>Mon</v>
      </c>
      <c r="J6" s="10" t="str">
        <f>IF(J$5="","",VLOOKUP(WEEKDAY(DATE($A$2,$A$3+$A$1-1,J5),2),Sheet3!$D$1:$E$7,2,0))</f>
        <v>Tue</v>
      </c>
      <c r="K6" s="10" t="str">
        <f>IF(K$5="","",VLOOKUP(WEEKDAY(DATE($A$2,$A$3+$A$1-1,K5),2),Sheet3!$D$1:$E$7,2,0))</f>
        <v>Wed</v>
      </c>
      <c r="L6" s="10" t="str">
        <f>IF(L$5="","",VLOOKUP(WEEKDAY(DATE($A$2,$A$3+$A$1-1,L5),2),Sheet3!$D$1:$E$7,2,0))</f>
        <v>Thu</v>
      </c>
      <c r="M6" s="10" t="str">
        <f>IF(M$5="","",VLOOKUP(WEEKDAY(DATE($A$2,$A$3+$A$1-1,M5),2),Sheet3!$D$1:$E$7,2,0))</f>
        <v>Fri</v>
      </c>
      <c r="N6" s="10" t="str">
        <f>IF(N$5="","",VLOOKUP(WEEKDAY(DATE($A$2,$A$3+$A$1-1,N5),2),Sheet3!$D$1:$E$7,2,0))</f>
        <v>Sat</v>
      </c>
      <c r="O6" s="10" t="str">
        <f>IF(O$5="","",VLOOKUP(WEEKDAY(DATE($A$2,$A$3+$A$1-1,O5),2),Sheet3!$D$1:$E$7,2,0))</f>
        <v>Sun</v>
      </c>
      <c r="P6" s="10" t="str">
        <f>IF(P$5="","",VLOOKUP(WEEKDAY(DATE($A$2,$A$3+$A$1-1,P5),2),Sheet3!$D$1:$E$7,2,0))</f>
        <v>Mon</v>
      </c>
      <c r="Q6" s="10" t="str">
        <f>IF(Q$5="","",VLOOKUP(WEEKDAY(DATE($A$2,$A$3+$A$1-1,Q5),2),Sheet3!$D$1:$E$7,2,0))</f>
        <v>Tue</v>
      </c>
      <c r="R6" s="10" t="str">
        <f>IF(R$5="","",VLOOKUP(WEEKDAY(DATE($A$2,$A$3+$A$1-1,R5),2),Sheet3!$D$1:$E$7,2,0))</f>
        <v>Wed</v>
      </c>
      <c r="S6" s="10" t="str">
        <f>IF(S$5="","",VLOOKUP(WEEKDAY(DATE($A$2,$A$3+$A$1-1,S5),2),Sheet3!$D$1:$E$7,2,0))</f>
        <v>Thu</v>
      </c>
      <c r="T6" s="10" t="str">
        <f>IF(T$5="","",VLOOKUP(WEEKDAY(DATE($A$2,$A$3+$A$1-1,T5),2),Sheet3!$D$1:$E$7,2,0))</f>
        <v>Fri</v>
      </c>
      <c r="U6" s="10" t="str">
        <f>IF(U$5="","",VLOOKUP(WEEKDAY(DATE($A$2,$A$3+$A$1-1,U5),2),Sheet3!$D$1:$E$7,2,0))</f>
        <v>Sat</v>
      </c>
      <c r="V6" s="10" t="str">
        <f>IF(V$5="","",VLOOKUP(WEEKDAY(DATE($A$2,$A$3+$A$1-1,V5),2),Sheet3!$D$1:$E$7,2,0))</f>
        <v>Sun</v>
      </c>
      <c r="W6" s="10" t="str">
        <f>IF(W$5="","",VLOOKUP(WEEKDAY(DATE($A$2,$A$3+$A$1-1,W5),2),Sheet3!$D$1:$E$7,2,0))</f>
        <v>Mon</v>
      </c>
      <c r="X6" s="10" t="str">
        <f>IF(X$5="","",VLOOKUP(WEEKDAY(DATE($A$2,$A$3+$A$1-1,X5),2),Sheet3!$D$1:$E$7,2,0))</f>
        <v>Tue</v>
      </c>
      <c r="Y6" s="10" t="str">
        <f>IF(Y$5="","",VLOOKUP(WEEKDAY(DATE($A$2,$A$3+$A$1-1,Y5),2),Sheet3!$D$1:$E$7,2,0))</f>
        <v>Wed</v>
      </c>
      <c r="Z6" s="10" t="str">
        <f>IF(Z$5="","",VLOOKUP(WEEKDAY(DATE($A$2,$A$3+$A$1-1,Z5),2),Sheet3!$D$1:$E$7,2,0))</f>
        <v>Thu</v>
      </c>
      <c r="AA6" s="10" t="str">
        <f>IF(AA$5="","",VLOOKUP(WEEKDAY(DATE($A$2,$A$3+$A$1-1,AA5),2),Sheet3!$D$1:$E$7,2,0))</f>
        <v>Fri</v>
      </c>
      <c r="AB6" s="10" t="str">
        <f>IF(AB$5="","",VLOOKUP(WEEKDAY(DATE($A$2,$A$3+$A$1-1,AB5),2),Sheet3!$D$1:$E$7,2,0))</f>
        <v>Sat</v>
      </c>
      <c r="AC6" s="10" t="str">
        <f>IF(AC$5="","",VLOOKUP(WEEKDAY(DATE($A$2,$A$3+$A$1-1,AC5),2),Sheet3!$D$1:$E$7,2,0))</f>
        <v>Sun</v>
      </c>
      <c r="AD6" s="10" t="str">
        <f>IF(AD$5="","",VLOOKUP(WEEKDAY(DATE($A$2,$A$3+$A$1-1,AD5),2),Sheet3!$D$1:$E$7,2,0))</f>
        <v>Mon</v>
      </c>
      <c r="AE6" s="10" t="str">
        <f>IF(AE$5="","",VLOOKUP(WEEKDAY(DATE($A$2,$A$3+$A$1-1,AE5),2),Sheet3!$D$1:$E$7,2,0))</f>
        <v>Tue</v>
      </c>
      <c r="AF6" s="10" t="str">
        <f>IF(AF$5="","",VLOOKUP(WEEKDAY(DATE($A$2,$A$3+$A$1-1,AF5),2),Sheet3!$D$1:$E$7,2,0))</f>
        <v>Wed</v>
      </c>
      <c r="AG6" s="10" t="str">
        <f>IF(AG$5="","",VLOOKUP(WEEKDAY(DATE($A$2,$A$3+$A$1-1,AG5),2),Sheet3!$D$1:$E$7,2,0))</f>
        <v/>
      </c>
      <c r="AH6" s="10" t="str">
        <f>IF(AH$5="","",VLOOKUP(WEEKDAY(DATE($A$2,$A$3+$A$1-1,AH5),2),Sheet3!$D$1:$E$7,2,0))</f>
        <v/>
      </c>
      <c r="AI6" s="10" t="str">
        <f>IF(AI$5="","",VLOOKUP(WEEKDAY(DATE($A$2,$A$3+$A$1-1,AI5),2),Sheet3!$D$1:$E$7,2,0))</f>
        <v/>
      </c>
      <c r="AJ6" s="10" t="str">
        <f>IF(AJ$5="","",VLOOKUP(WEEKDAY(DATE($A$2,$A$3+$A$1-1,AJ5),2),Sheet3!$D$1:$E$7,2,0))</f>
        <v/>
      </c>
      <c r="AK6" s="10" t="str">
        <f>IF(AK$5="","",VLOOKUP(WEEKDAY(DATE($A$2,$A$3+$A$1-1,AK5),2),Sheet3!$D$1:$E$7,2,0))</f>
        <v/>
      </c>
      <c r="AL6" s="10" t="str">
        <f>IF(AL$5="","",VLOOKUP(WEEKDAY(DATE($A$2,$A$3+$A$1-1,AL5),2),Sheet3!$D$1:$E$7,2,0))</f>
        <v/>
      </c>
      <c r="AM6" s="10" t="str">
        <f>IF(AM$5="","",VLOOKUP(WEEKDAY(DATE($A$2,$A$3+$A$1-1,AM5),2),Sheet3!$D$1:$E$7,2,0))</f>
        <v/>
      </c>
      <c r="AN6" s="10" t="str">
        <f>IF(AN$5="","",VLOOKUP(WEEKDAY(DATE($A$2,$A$3+$A$1-1,AN5),2),Sheet3!$D$1:$E$7,2,0))</f>
        <v/>
      </c>
      <c r="AO6" s="10" t="str">
        <f>IF(AO$5="","",VLOOKUP(WEEKDAY(DATE($A$2,$A$3+$A$1-1,AO5),2),Sheet3!$D$1:$E$7,2,0))</f>
        <v/>
      </c>
      <c r="AP6" s="10" t="str">
        <f>IF(AP$5="","",VLOOKUP(WEEKDAY(DATE($A$2,$A$3+$A$1-1,AP5),2),Sheet3!$D$1:$E$7,2,0))</f>
        <v/>
      </c>
      <c r="AQ6" s="10" t="str">
        <f>IF(AQ$5="","",VLOOKUP(WEEKDAY(DATE($A$2,$A$3+$A$1-1,AQ5),2),Sheet3!$D$1:$E$7,2,0))</f>
        <v/>
      </c>
      <c r="AR6" s="10" t="str">
        <f>IF(AR$5="","",VLOOKUP(WEEKDAY(DATE($A$2,$A$3+$A$1-1,AR5),2),Sheet3!$D$1:$E$7,2,0))</f>
        <v/>
      </c>
      <c r="AS6" s="10" t="str">
        <f>IF(AS$5="","",VLOOKUP(WEEKDAY(DATE($A$2,$A$3+$A$1-1,AS5),2),Sheet3!$D$1:$E$7,2,0))</f>
        <v/>
      </c>
      <c r="AT6" s="10" t="str">
        <f>IF(AT$5="","",VLOOKUP(WEEKDAY(DATE($A$2,$A$3+$A$1-1,AT5),2),Sheet3!$D$1:$E$7,2,0))</f>
        <v/>
      </c>
      <c r="AU6" s="10" t="str">
        <f>IF(AU$5="","",VLOOKUP(WEEKDAY(DATE($A$2,$A$3+$A$1-1,AU5),2),Sheet3!$D$1:$E$7,2,0))</f>
        <v/>
      </c>
      <c r="AV6" s="10" t="str">
        <f>IF(AV$5="","",VLOOKUP(WEEKDAY(DATE($A$2,$A$3+$A$1-1,AV5),2),Sheet3!$D$1:$E$7,2,0))</f>
        <v/>
      </c>
      <c r="AW6" s="10" t="str">
        <f>IF(AW$5="","",VLOOKUP(WEEKDAY(DATE($A$2,$A$3+$A$1-1,AW5),2),Sheet3!$D$1:$E$7,2,0))</f>
        <v/>
      </c>
      <c r="AX6" s="10" t="str">
        <f>IF(AX$5="","",VLOOKUP(WEEKDAY(DATE($A$2,$A$3+$A$1-1,AX5),2),Sheet3!$D$1:$E$7,2,0))</f>
        <v/>
      </c>
      <c r="AY6" s="10" t="str">
        <f>IF(AY$5="","",VLOOKUP(WEEKDAY(DATE($A$2,$A$3+$A$1-1,AY5),2),Sheet3!$D$1:$E$7,2,0))</f>
        <v/>
      </c>
      <c r="AZ6" s="10" t="str">
        <f>IF(AZ$5="","",VLOOKUP(WEEKDAY(DATE($A$2,$A$3+$A$1-1,AZ5),2),Sheet3!$D$1:$E$7,2,0))</f>
        <v/>
      </c>
      <c r="BA6" s="10" t="str">
        <f>IF(BA$5="","",VLOOKUP(WEEKDAY(DATE($A$2,$A$3+$A$1-1,BA5),2),Sheet3!$D$1:$E$7,2,0))</f>
        <v/>
      </c>
      <c r="BB6" s="10" t="str">
        <f>IF(BB$5="","",VLOOKUP(WEEKDAY(DATE($A$2,$A$3+$A$1-1,BB5),2),Sheet3!$D$1:$E$7,2,0))</f>
        <v/>
      </c>
      <c r="BC6" s="10" t="str">
        <f>IF(BC$5="","",VLOOKUP(WEEKDAY(DATE($A$2,$A$3+$A$1-1,BC5),2),Sheet3!$D$1:$E$7,2,0))</f>
        <v/>
      </c>
      <c r="BD6" s="10" t="str">
        <f>IF(BD$5="","",VLOOKUP(WEEKDAY(DATE($A$2,$A$3+$A$1-1,BD5),2),Sheet3!$D$1:$E$7,2,0))</f>
        <v/>
      </c>
      <c r="BE6" s="10" t="str">
        <f>IF(BE$5="","",VLOOKUP(WEEKDAY(DATE($A$2,$A$3+$A$1-1,BE5),2),Sheet3!$D$1:$E$7,2,0))</f>
        <v/>
      </c>
      <c r="BF6" s="10" t="str">
        <f>IF(BF$5="","",VLOOKUP(WEEKDAY(DATE($A$2,$A$3+$A$1-1,BF5),2),Sheet3!$D$1:$E$7,2,0))</f>
        <v/>
      </c>
      <c r="BG6" s="10" t="str">
        <f>IF(BG$5="","",VLOOKUP(WEEKDAY(DATE($A$2,$A$3+$A$1-1,BG5),2),Sheet3!$D$1:$E$7,2,0))</f>
        <v/>
      </c>
      <c r="BH6" s="10" t="str">
        <f>IF(BH$5="","",VLOOKUP(WEEKDAY(DATE($A$2,$A$3+$A$1-1,BH5),2),Sheet3!$D$1:$E$7,2,0))</f>
        <v/>
      </c>
      <c r="BI6" s="10" t="str">
        <f>IF(BI$5="","",VLOOKUP(WEEKDAY(DATE($A$2,$A$3+$A$1-1,BI5),2),Sheet3!$D$1:$E$7,2,0))</f>
        <v/>
      </c>
      <c r="BJ6" s="10" t="str">
        <f>IF(BJ$5="","",VLOOKUP(WEEKDAY(DATE($A$2,$A$3+$A$1-1,BJ5),2),Sheet3!$D$1:$E$7,2,0))</f>
        <v/>
      </c>
      <c r="BK6" s="10" t="str">
        <f>IF(BK$5="","",VLOOKUP(WEEKDAY(DATE($A$2,$A$3+$A$1-1,BK5),2),Sheet3!$D$1:$E$7,2,0))</f>
        <v/>
      </c>
      <c r="BL6" s="10" t="str">
        <f>IF(BL$5="","",VLOOKUP(WEEKDAY(DATE($A$2,$A$3+$A$1-1,BL5),2),Sheet3!$D$1:$E$7,2,0))</f>
        <v/>
      </c>
      <c r="BM6" s="10" t="str">
        <f>IF(BM$5="","",VLOOKUP(WEEKDAY(DATE($A$2,$A$3+$A$1-1,BM5),2),Sheet3!$D$1:$E$7,2,0))</f>
        <v/>
      </c>
      <c r="BN6" s="10" t="str">
        <f>IF(BN$5="","",VLOOKUP(WEEKDAY(DATE($A$2,$A$3+$A$1-1,BN5),2),Sheet3!$D$1:$E$7,2,0))</f>
        <v/>
      </c>
      <c r="BO6" s="10" t="str">
        <f>IF(BO$5="","",VLOOKUP(WEEKDAY(DATE($A$2,$A$3+$A$1-1,BO5),2),Sheet3!$D$1:$E$7,2,0))</f>
        <v/>
      </c>
      <c r="BP6" s="10" t="str">
        <f>IF(BP$5="","",VLOOKUP(WEEKDAY(DATE($A$2,$A$3+$A$1-1,BP5),2),Sheet3!$D$1:$E$7,2,0))</f>
        <v/>
      </c>
      <c r="BQ6" s="10" t="str">
        <f>IF(BQ$5="","",VLOOKUP(WEEKDAY(DATE($A$2,$A$3+$A$1-1,BQ5),2),Sheet3!$D$1:$E$7,2,0))</f>
        <v/>
      </c>
      <c r="BR6" s="10" t="str">
        <f>IF(BR$5="","",VLOOKUP(WEEKDAY(DATE($A$2,$A$3+$A$1-1,BR5),2),Sheet3!$D$1:$E$7,2,0))</f>
        <v/>
      </c>
      <c r="BS6" s="10" t="str">
        <f>IF(BS$5="","",VLOOKUP(WEEKDAY(DATE($A$2,$A$3+$A$1-1,BS5),2),Sheet3!$D$1:$E$7,2,0))</f>
        <v/>
      </c>
      <c r="BT6" s="10" t="str">
        <f>IF(BT$5="","",VLOOKUP(WEEKDAY(DATE($A$2,$A$3+$A$1-1,BT5),2),Sheet3!$D$1:$E$7,2,0))</f>
        <v/>
      </c>
      <c r="BU6" s="10" t="str">
        <f>IF(BU$5="","",VLOOKUP(WEEKDAY(DATE($A$2,$A$3+$A$1-1,BU5),2),Sheet3!$D$1:$E$7,2,0))</f>
        <v/>
      </c>
      <c r="BV6" s="10" t="str">
        <f>IF(BV$5="","",VLOOKUP(WEEKDAY(DATE($A$2,$A$3+$A$1-1,BV5),2),Sheet3!$D$1:$E$7,2,0))</f>
        <v/>
      </c>
      <c r="BW6" s="10" t="str">
        <f>IF(BW$5="","",VLOOKUP(WEEKDAY(DATE($A$2,$A$3+$A$1-1,BW5),2),Sheet3!$D$1:$E$7,2,0))</f>
        <v/>
      </c>
      <c r="BX6" s="10" t="str">
        <f>IF(BX$5="","",VLOOKUP(WEEKDAY(DATE($A$2,$A$3+$A$1-1,BX5),2),Sheet3!$D$1:$E$7,2,0))</f>
        <v/>
      </c>
      <c r="BY6" s="10" t="str">
        <f>IF(BY$5="","",VLOOKUP(WEEKDAY(DATE($A$2,$A$3+$A$1-1,BY5),2),Sheet3!$D$1:$E$7,2,0))</f>
        <v/>
      </c>
      <c r="BZ6" s="10" t="str">
        <f>IF(BZ$5="","",VLOOKUP(WEEKDAY(DATE($A$2,$A$3+$A$1-1,BZ5),2),Sheet3!$D$1:$E$7,2,0))</f>
        <v/>
      </c>
      <c r="CA6" s="10" t="str">
        <f>IF(CA$5="","",VLOOKUP(WEEKDAY(DATE($A$2,$A$3+$A$1-1,CA5),2),Sheet3!$D$1:$E$7,2,0))</f>
        <v/>
      </c>
      <c r="CB6" s="10" t="str">
        <f>IF(CB$5="","",VLOOKUP(WEEKDAY(DATE($A$2,$A$3+$A$1-1,CB5),2),Sheet3!$D$1:$E$7,2,0))</f>
        <v/>
      </c>
      <c r="CC6" s="10" t="str">
        <f>IF(CC$5="","",VLOOKUP(WEEKDAY(DATE($A$2,$A$3+$A$1-1,CC5),2),Sheet3!$D$1:$E$7,2,0))</f>
        <v/>
      </c>
      <c r="CD6" s="10" t="str">
        <f>IF(CD$5="","",VLOOKUP(WEEKDAY(DATE($A$2,$A$3+$A$1-1,CD5),2),Sheet3!$D$1:$E$7,2,0))</f>
        <v/>
      </c>
      <c r="CE6" s="10" t="str">
        <f>IF(CE$5="","",VLOOKUP(WEEKDAY(DATE($A$2,$A$3+$A$1-1,CE5),2),Sheet3!$D$1:$E$7,2,0))</f>
        <v/>
      </c>
      <c r="CF6" s="10" t="str">
        <f>IF(CF$5="","",VLOOKUP(WEEKDAY(DATE($A$2,$A$3+$A$1-1,CF5),2),Sheet3!$D$1:$E$7,2,0))</f>
        <v/>
      </c>
      <c r="CG6" s="10" t="str">
        <f>IF(CG$5="","",VLOOKUP(WEEKDAY(DATE($A$2,$A$3+$A$1-1,CG5),2),Sheet3!$D$1:$E$7,2,0))</f>
        <v/>
      </c>
      <c r="CH6" s="10" t="str">
        <f>IF(CH$5="","",VLOOKUP(WEEKDAY(DATE($A$2,$A$3+$A$1-1,CH5),2),Sheet3!$D$1:$E$7,2,0))</f>
        <v/>
      </c>
      <c r="CI6" s="10" t="str">
        <f>IF(CI$5="","",VLOOKUP(WEEKDAY(DATE($A$2,$A$3+$A$1-1,CI5),2),Sheet3!$D$1:$E$7,2,0))</f>
        <v/>
      </c>
      <c r="CJ6" s="10" t="str">
        <f>IF(CJ$5="","",VLOOKUP(WEEKDAY(DATE($A$2,$A$3+$A$1-1,CJ5),2),Sheet3!$D$1:$E$7,2,0))</f>
        <v/>
      </c>
      <c r="CK6" s="10" t="str">
        <f>IF(CK$5="","",VLOOKUP(WEEKDAY(DATE($A$2,$A$3+$A$1-1,CK5),2),Sheet3!$D$1:$E$7,2,0))</f>
        <v/>
      </c>
      <c r="CL6" s="10" t="str">
        <f>IF(CL$5="","",VLOOKUP(WEEKDAY(DATE($A$2,$A$3+$A$1-1,CL5),2),Sheet3!$D$1:$E$7,2,0))</f>
        <v/>
      </c>
      <c r="CM6" s="10" t="str">
        <f>IF(CM$5="","",VLOOKUP(WEEKDAY(DATE($A$2,$A$3+$A$1-1,CM5),2),Sheet3!$D$1:$E$7,2,0))</f>
        <v/>
      </c>
      <c r="CN6" s="10" t="str">
        <f>IF(CN$5="","",VLOOKUP(WEEKDAY(DATE($A$2,$A$3+$A$1-1,CN5),2),Sheet3!$D$1:$E$7,2,0))</f>
        <v/>
      </c>
      <c r="CO6" s="10" t="str">
        <f>IF(CO$5="","",VLOOKUP(WEEKDAY(DATE($A$2,$A$3+$A$1-1,CO5),2),Sheet3!$D$1:$E$7,2,0))</f>
        <v/>
      </c>
      <c r="CP6" s="10" t="str">
        <f>IF(CP$5="","",VLOOKUP(WEEKDAY(DATE($A$2,$A$3+$A$1-1,CP5),2),Sheet3!$D$1:$E$7,2,0))</f>
        <v/>
      </c>
      <c r="CQ6" s="10" t="str">
        <f>IF(CQ$5="","",VLOOKUP(WEEKDAY(DATE($A$2,$A$3+$A$1-1,CQ5),2),Sheet3!$D$1:$E$7,2,0))</f>
        <v/>
      </c>
      <c r="CR6" s="10" t="str">
        <f>IF(CR$5="","",VLOOKUP(WEEKDAY(DATE($A$2,$A$3+$A$1-1,CR5),2),Sheet3!$D$1:$E$7,2,0))</f>
        <v/>
      </c>
      <c r="CS6" s="10" t="str">
        <f>IF(CS$5="","",VLOOKUP(WEEKDAY(DATE($A$2,$A$3+$A$1-1,CS5),2),Sheet3!$D$1:$E$7,2,0))</f>
        <v/>
      </c>
      <c r="CT6" s="10" t="str">
        <f>IF(CT$5="","",VLOOKUP(WEEKDAY(DATE($A$2,$A$3+$A$1-1,CT5),2),Sheet3!$D$1:$E$7,2,0))</f>
        <v/>
      </c>
      <c r="CU6" s="10" t="str">
        <f>IF(CU$5="","",VLOOKUP(WEEKDAY(DATE($A$2,$A$3+$A$1-1,CU5),2),Sheet3!$D$1:$E$7,2,0))</f>
        <v/>
      </c>
      <c r="CV6" s="10" t="str">
        <f>IF(CV$5="","",VLOOKUP(WEEKDAY(DATE($A$2,$A$3+$A$1-1,CV5),2),Sheet3!$D$1:$E$7,2,0))</f>
        <v/>
      </c>
      <c r="CW6" s="10" t="str">
        <f>IF(CW$5="","",VLOOKUP(WEEKDAY(DATE($A$2,$A$3+$A$1-1,CW5),2),Sheet3!$D$1:$E$7,2,0))</f>
        <v/>
      </c>
      <c r="CX6" s="10" t="str">
        <f>IF(CX$5="","",VLOOKUP(WEEKDAY(DATE($A$2,$A$3+$A$1-1,CX5),2),Sheet3!$D$1:$E$7,2,0))</f>
        <v/>
      </c>
      <c r="CY6" s="10" t="str">
        <f>IF(CY$5="","",VLOOKUP(WEEKDAY(DATE($A$2,$A$3+$A$1-1,CY5),2),Sheet3!$D$1:$E$7,2,0))</f>
        <v/>
      </c>
      <c r="CZ6" s="10" t="str">
        <f>IF(CZ$5="","",VLOOKUP(WEEKDAY(DATE($A$2,$A$3+$A$1-1,CZ5),2),Sheet3!$D$1:$E$7,2,0))</f>
        <v/>
      </c>
      <c r="DA6" s="10" t="str">
        <f>IF(DA$5="","",VLOOKUP(WEEKDAY(DATE($A$2,$A$3+$A$1-1,DA5),2),Sheet3!$D$1:$E$7,2,0))</f>
        <v/>
      </c>
      <c r="DB6" s="10" t="str">
        <f>IF(DB$5="","",VLOOKUP(WEEKDAY(DATE($A$2,$A$3+$A$1-1,DB5),2),Sheet3!$D$1:$E$7,2,0))</f>
        <v/>
      </c>
      <c r="DC6" s="10" t="str">
        <f>IF(DC$5="","",VLOOKUP(WEEKDAY(DATE($A$2,$A$3+$A$1-1,DC5),2),Sheet3!$D$1:$E$7,2,0))</f>
        <v/>
      </c>
      <c r="DD6" s="10" t="str">
        <f>IF(DD$5="","",VLOOKUP(WEEKDAY(DATE($A$2,$A$3+$A$1-1,DD5),2),Sheet3!$D$1:$E$7,2,0))</f>
        <v/>
      </c>
      <c r="DE6" s="10" t="str">
        <f>IF(DE$5="","",VLOOKUP(WEEKDAY(DATE($A$2,$A$3+$A$1-1,DE5),2),Sheet3!$D$1:$E$7,2,0))</f>
        <v/>
      </c>
      <c r="DF6" s="10" t="str">
        <f>IF(DF$5="","",VLOOKUP(WEEKDAY(DATE($A$2,$A$3+$A$1-1,DF5),2),Sheet3!$D$1:$E$7,2,0))</f>
        <v/>
      </c>
      <c r="DG6" s="10" t="str">
        <f>IF(DG$5="","",VLOOKUP(WEEKDAY(DATE($A$2,$A$3+$A$1-1,DG5),2),Sheet3!$D$1:$E$7,2,0))</f>
        <v/>
      </c>
      <c r="DH6" s="10" t="str">
        <f>IF(DH$5="","",VLOOKUP(WEEKDAY(DATE($A$2,$A$3+$A$1-1,DH5),2),Sheet3!$D$1:$E$7,2,0))</f>
        <v/>
      </c>
      <c r="DI6" s="10" t="str">
        <f>IF(DI$5="","",VLOOKUP(WEEKDAY(DATE($A$2,$A$3+$A$1-1,DI5),2),Sheet3!$D$1:$E$7,2,0))</f>
        <v/>
      </c>
      <c r="DJ6" s="10" t="str">
        <f>IF(DJ$5="","",VLOOKUP(WEEKDAY(DATE($A$2,$A$3+$A$1-1,DJ5),2),Sheet3!$D$1:$E$7,2,0))</f>
        <v/>
      </c>
      <c r="DK6" s="10" t="str">
        <f>IF(DK$5="","",VLOOKUP(WEEKDAY(DATE($A$2,$A$3+$A$1-1,DK5),2),Sheet3!$D$1:$E$7,2,0))</f>
        <v/>
      </c>
      <c r="DL6" s="10" t="str">
        <f>IF(DL$5="","",VLOOKUP(WEEKDAY(DATE($A$2,$A$3+$A$1-1,DL5),2),Sheet3!$D$1:$E$7,2,0))</f>
        <v/>
      </c>
      <c r="DM6" s="10" t="str">
        <f>IF(DM$5="","",VLOOKUP(WEEKDAY(DATE($A$2,$A$3+$A$1-1,DM5),2),Sheet3!$D$1:$E$7,2,0))</f>
        <v/>
      </c>
      <c r="DN6" s="10" t="str">
        <f>IF(DN$5="","",VLOOKUP(WEEKDAY(DATE($A$2,$A$3+$A$1-1,DN5),2),Sheet3!$D$1:$E$7,2,0))</f>
        <v/>
      </c>
      <c r="DO6" s="10" t="str">
        <f>IF(DO$5="","",VLOOKUP(WEEKDAY(DATE($A$2,$A$3+$A$1-1,DO5),2),Sheet3!$D$1:$E$7,2,0))</f>
        <v/>
      </c>
      <c r="DP6" s="10" t="str">
        <f>IF(DP$5="","",VLOOKUP(WEEKDAY(DATE($A$2,$A$3+$A$1-1,DP5),2),Sheet3!$D$1:$E$7,2,0))</f>
        <v/>
      </c>
      <c r="DQ6" s="10" t="str">
        <f>IF(DQ$5="","",VLOOKUP(WEEKDAY(DATE($A$2,$A$3+$A$1-1,DQ5),2),Sheet3!$D$1:$E$7,2,0))</f>
        <v/>
      </c>
      <c r="DR6" s="10" t="str">
        <f>IF(DR$5="","",VLOOKUP(WEEKDAY(DATE($A$2,$A$3+$A$1-1,DR5),2),Sheet3!$D$1:$E$7,2,0))</f>
        <v/>
      </c>
      <c r="DS6" s="10" t="str">
        <f>IF(DS$5="","",VLOOKUP(WEEKDAY(DATE($A$2,$A$3+$A$1-1,DS5),2),Sheet3!$D$1:$E$7,2,0))</f>
        <v/>
      </c>
      <c r="DT6" s="10" t="str">
        <f>IF(DT$5="","",VLOOKUP(WEEKDAY(DATE($A$2,$A$3+$A$1-1,DT5),2),Sheet3!$D$1:$E$7,2,0))</f>
        <v/>
      </c>
      <c r="DU6" s="10" t="str">
        <f>IF(DU$5="","",VLOOKUP(WEEKDAY(DATE($A$2,$A$3+$A$1-1,DU5),2),Sheet3!$D$1:$E$7,2,0))</f>
        <v/>
      </c>
      <c r="DV6" s="10" t="str">
        <f>IF(DV$5="","",VLOOKUP(WEEKDAY(DATE($A$2,$A$3+$A$1-1,DV5),2),Sheet3!$D$1:$E$7,2,0))</f>
        <v/>
      </c>
      <c r="DW6" s="10" t="str">
        <f>IF(DW$5="","",VLOOKUP(WEEKDAY(DATE($A$2,$A$3+$A$1-1,DW5),2),Sheet3!$D$1:$E$7,2,0))</f>
        <v/>
      </c>
      <c r="DX6" s="10" t="str">
        <f>IF(DX$5="","",VLOOKUP(WEEKDAY(DATE($A$2,$A$3+$A$1-1,DX5),2),Sheet3!$D$1:$E$7,2,0))</f>
        <v/>
      </c>
      <c r="DY6" s="10" t="str">
        <f>IF(DY$5="","",VLOOKUP(WEEKDAY(DATE($A$2,$A$3+$A$1-1,DY5),2),Sheet3!$D$1:$E$7,2,0))</f>
        <v/>
      </c>
      <c r="DZ6" s="10" t="str">
        <f>IF(DZ$5="","",VLOOKUP(WEEKDAY(DATE($A$2,$A$3+$A$1-1,DZ5),2),Sheet3!$D$1:$E$7,2,0))</f>
        <v/>
      </c>
      <c r="EA6" s="10" t="str">
        <f>IF(EA$5="","",VLOOKUP(WEEKDAY(DATE($A$2,$A$3+$A$1-1,EA5),2),Sheet3!$D$1:$E$7,2,0))</f>
        <v/>
      </c>
      <c r="EB6" s="10" t="str">
        <f>IF(EB$5="","",VLOOKUP(WEEKDAY(DATE($A$2,$A$3+$A$1-1,EB5),2),Sheet3!$D$1:$E$7,2,0))</f>
        <v/>
      </c>
      <c r="EC6" s="10" t="str">
        <f>IF(EC$5="","",VLOOKUP(WEEKDAY(DATE($A$2,$A$3+$A$1-1,EC5),2),Sheet3!$D$1:$E$7,2,0))</f>
        <v/>
      </c>
      <c r="ED6" s="10" t="str">
        <f>IF(ED$5="","",VLOOKUP(WEEKDAY(DATE($A$2,$A$3+$A$1-1,ED5),2),Sheet3!$D$1:$E$7,2,0))</f>
        <v/>
      </c>
      <c r="EE6" s="10" t="str">
        <f>IF(EE$5="","",VLOOKUP(WEEKDAY(DATE($A$2,$A$3+$A$1-1,EE5),2),Sheet3!$D$1:$E$7,2,0))</f>
        <v/>
      </c>
      <c r="EF6" s="10" t="str">
        <f>IF(EF$5="","",VLOOKUP(WEEKDAY(DATE($A$2,$A$3+$A$1-1,EF5),2),Sheet3!$D$1:$E$7,2,0))</f>
        <v/>
      </c>
      <c r="EG6" s="10" t="str">
        <f>IF(EG$5="","",VLOOKUP(WEEKDAY(DATE($A$2,$A$3+$A$1-1,EG5),2),Sheet3!$D$1:$E$7,2,0))</f>
        <v/>
      </c>
      <c r="EH6" s="10" t="str">
        <f>IF(EH$5="","",VLOOKUP(WEEKDAY(DATE($A$2,$A$3+$A$1-1,EH5),2),Sheet3!$D$1:$E$7,2,0))</f>
        <v/>
      </c>
      <c r="EI6" s="10" t="str">
        <f>IF(EI$5="","",VLOOKUP(WEEKDAY(DATE($A$2,$A$3+$A$1-1,EI5),2),Sheet3!$D$1:$E$7,2,0))</f>
        <v/>
      </c>
      <c r="EJ6" s="10" t="str">
        <f>IF(EJ$5="","",VLOOKUP(WEEKDAY(DATE($A$2,$A$3+$A$1-1,EJ5),2),Sheet3!$D$1:$E$7,2,0))</f>
        <v/>
      </c>
      <c r="EK6" s="10" t="str">
        <f>IF(EK$5="","",VLOOKUP(WEEKDAY(DATE($A$2,$A$3+$A$1-1,EK5),2),Sheet3!$D$1:$E$7,2,0))</f>
        <v/>
      </c>
      <c r="EL6" s="10" t="str">
        <f>IF(EL$5="","",VLOOKUP(WEEKDAY(DATE($A$2,$A$3+$A$1-1,EL5),2),Sheet3!$D$1:$E$7,2,0))</f>
        <v/>
      </c>
      <c r="EM6" s="10" t="str">
        <f>IF(EM$5="","",VLOOKUP(WEEKDAY(DATE($A$2,$A$3+$A$1-1,EM5),2),Sheet3!$D$1:$E$7,2,0))</f>
        <v/>
      </c>
      <c r="EN6" s="10" t="str">
        <f>IF(EN$5="","",VLOOKUP(WEEKDAY(DATE($A$2,$A$3+$A$1-1,EN5),2),Sheet3!$D$1:$E$7,2,0))</f>
        <v/>
      </c>
      <c r="EO6" s="10" t="str">
        <f>IF(EO$5="","",VLOOKUP(WEEKDAY(DATE($A$2,$A$3+$A$1-1,EO5),2),Sheet3!$D$1:$E$7,2,0))</f>
        <v/>
      </c>
      <c r="EP6" s="10" t="str">
        <f>IF(EP$5="","",VLOOKUP(WEEKDAY(DATE($A$2,$A$3+$A$1-1,EP5),2),Sheet3!$D$1:$E$7,2,0))</f>
        <v/>
      </c>
      <c r="EQ6" s="10" t="str">
        <f>IF(EQ$5="","",VLOOKUP(WEEKDAY(DATE($A$2,$A$3+$A$1-1,EQ5),2),Sheet3!$D$1:$E$7,2,0))</f>
        <v/>
      </c>
      <c r="ER6" s="10" t="str">
        <f>IF(ER$5="","",VLOOKUP(WEEKDAY(DATE($A$2,$A$3+$A$1-1,ER5),2),Sheet3!$D$1:$E$7,2,0))</f>
        <v/>
      </c>
      <c r="ES6" s="10" t="str">
        <f>IF(ES$5="","",VLOOKUP(WEEKDAY(DATE($A$2,$A$3+$A$1-1,ES5),2),Sheet3!$D$1:$E$7,2,0))</f>
        <v/>
      </c>
      <c r="ET6" s="10" t="str">
        <f>IF(ET$5="","",VLOOKUP(WEEKDAY(DATE($A$2,$A$3+$A$1-1,ET5),2),Sheet3!$D$1:$E$7,2,0))</f>
        <v/>
      </c>
      <c r="EU6" s="10" t="str">
        <f>IF(EU$5="","",VLOOKUP(WEEKDAY(DATE($A$2,$A$3+$A$1-1,EU5),2),Sheet3!$D$1:$E$7,2,0))</f>
        <v/>
      </c>
      <c r="EV6" s="10" t="str">
        <f>IF(EV$5="","",VLOOKUP(WEEKDAY(DATE($A$2,$A$3+$A$1-1,EV5),2),Sheet3!$D$1:$E$7,2,0))</f>
        <v/>
      </c>
      <c r="EW6" s="10" t="str">
        <f>IF(EW$5="","",VLOOKUP(WEEKDAY(DATE($A$2,$A$3+$A$1-1,EW5),2),Sheet3!$D$1:$E$7,2,0))</f>
        <v/>
      </c>
      <c r="EX6" s="10" t="str">
        <f>IF(EX$5="","",VLOOKUP(WEEKDAY(DATE($A$2,$A$3+$A$1-1,EX5),2),Sheet3!$D$1:$E$7,2,0))</f>
        <v/>
      </c>
      <c r="EY6" s="10" t="str">
        <f>IF(EY$5="","",VLOOKUP(WEEKDAY(DATE($A$2,$A$3+$A$1-1,EY5),2),Sheet3!$D$1:$E$7,2,0))</f>
        <v/>
      </c>
      <c r="EZ6" s="10" t="str">
        <f>IF(EZ$5="","",VLOOKUP(WEEKDAY(DATE($A$2,$A$3+$A$1-1,EZ5),2),Sheet3!$D$1:$E$7,2,0))</f>
        <v/>
      </c>
      <c r="FA6" s="10" t="str">
        <f>IF(FA$5="","",VLOOKUP(WEEKDAY(DATE($A$2,$A$3+$A$1-1,FA5),2),Sheet3!$D$1:$E$7,2,0))</f>
        <v/>
      </c>
      <c r="FB6" s="10" t="str">
        <f>IF(FB$5="","",VLOOKUP(WEEKDAY(DATE($A$2,$A$3+$A$1-1,FB5),2),Sheet3!$D$1:$E$7,2,0))</f>
        <v/>
      </c>
      <c r="FC6" s="10" t="str">
        <f>IF(FC$5="","",VLOOKUP(WEEKDAY(DATE($A$2,$A$3+$A$1-1,FC5),2),Sheet3!$D$1:$E$7,2,0))</f>
        <v/>
      </c>
      <c r="FD6" s="10" t="str">
        <f>IF(FD$5="","",VLOOKUP(WEEKDAY(DATE($A$2,$A$3+$A$1-1,FD5),2),Sheet3!$D$1:$E$7,2,0))</f>
        <v/>
      </c>
      <c r="FE6" s="10" t="str">
        <f>IF(FE$5="","",VLOOKUP(WEEKDAY(DATE($A$2,$A$3+$A$1-1,FE5),2),Sheet3!$D$1:$E$7,2,0))</f>
        <v/>
      </c>
      <c r="FF6" s="10" t="str">
        <f>IF(FF$5="","",VLOOKUP(WEEKDAY(DATE($A$2,$A$3+$A$1-1,FF5),2),Sheet3!$D$1:$E$7,2,0))</f>
        <v/>
      </c>
      <c r="FG6" s="10" t="str">
        <f>IF(FG$5="","",VLOOKUP(WEEKDAY(DATE($A$2,$A$3+$A$1-1,FG5),2),Sheet3!$D$1:$E$7,2,0))</f>
        <v/>
      </c>
      <c r="FH6" s="10" t="str">
        <f>IF(FH$5="","",VLOOKUP(WEEKDAY(DATE($A$2,$A$3+$A$1-1,FH5),2),Sheet3!$D$1:$E$7,2,0))</f>
        <v/>
      </c>
      <c r="FI6" s="10" t="str">
        <f>IF(FI$5="","",VLOOKUP(WEEKDAY(DATE($A$2,$A$3+$A$1-1,FI5),2),Sheet3!$D$1:$E$7,2,0))</f>
        <v/>
      </c>
      <c r="FJ6" s="10" t="str">
        <f>IF(FJ$5="","",VLOOKUP(WEEKDAY(DATE($A$2,$A$3+$A$1-1,FJ5),2),Sheet3!$D$1:$E$7,2,0))</f>
        <v/>
      </c>
      <c r="FK6" s="10" t="str">
        <f>IF(FK$5="","",VLOOKUP(WEEKDAY(DATE($A$2,$A$3+$A$1-1,FK5),2),Sheet3!$D$1:$E$7,2,0))</f>
        <v/>
      </c>
      <c r="FL6" s="10" t="str">
        <f>IF(FL$5="","",VLOOKUP(WEEKDAY(DATE($A$2,$A$3+$A$1-1,FL5),2),Sheet3!$D$1:$E$7,2,0))</f>
        <v/>
      </c>
      <c r="FM6" s="10" t="str">
        <f>IF(FM$5="","",VLOOKUP(WEEKDAY(DATE($A$2,$A$3+$A$1-1,FM5),2),Sheet3!$D$1:$E$7,2,0))</f>
        <v/>
      </c>
      <c r="FN6" s="10" t="str">
        <f>IF(FN$5="","",VLOOKUP(WEEKDAY(DATE($A$2,$A$3+$A$1-1,FN5),2),Sheet3!$D$1:$E$7,2,0))</f>
        <v/>
      </c>
      <c r="FO6" s="10" t="str">
        <f>IF(FO$5="","",VLOOKUP(WEEKDAY(DATE($A$2,$A$3+$A$1-1,FO5),2),Sheet3!$D$1:$E$7,2,0))</f>
        <v/>
      </c>
      <c r="FP6" s="10" t="str">
        <f>IF(FP$5="","",VLOOKUP(WEEKDAY(DATE($A$2,$A$3+$A$1-1,FP5),2),Sheet3!$D$1:$E$7,2,0))</f>
        <v/>
      </c>
      <c r="FQ6" s="10" t="str">
        <f>IF(FQ$5="","",VLOOKUP(WEEKDAY(DATE($A$2,$A$3+$A$1-1,FQ5),2),Sheet3!$D$1:$E$7,2,0))</f>
        <v/>
      </c>
      <c r="FR6" s="10" t="str">
        <f>IF(FR$5="","",VLOOKUP(WEEKDAY(DATE($A$2,$A$3+$A$1-1,FR5),2),Sheet3!$D$1:$E$7,2,0))</f>
        <v/>
      </c>
      <c r="FS6" s="10" t="str">
        <f>IF(FS$5="","",VLOOKUP(WEEKDAY(DATE($A$2,$A$3+$A$1-1,FS5),2),Sheet3!$D$1:$E$7,2,0))</f>
        <v/>
      </c>
      <c r="FT6" s="10" t="str">
        <f>IF(FT$5="","",VLOOKUP(WEEKDAY(DATE($A$2,$A$3+$A$1-1,FT5),2),Sheet3!$D$1:$E$7,2,0))</f>
        <v/>
      </c>
      <c r="FU6" s="10" t="str">
        <f>IF(FU$5="","",VLOOKUP(WEEKDAY(DATE($A$2,$A$3+$A$1-1,FU5),2),Sheet3!$D$1:$E$7,2,0))</f>
        <v/>
      </c>
      <c r="FV6" s="10" t="str">
        <f>IF(FV$5="","",VLOOKUP(WEEKDAY(DATE($A$2,$A$3+$A$1-1,FV5),2),Sheet3!$D$1:$E$7,2,0))</f>
        <v/>
      </c>
      <c r="FW6" s="10" t="str">
        <f>IF(FW$5="","",VLOOKUP(WEEKDAY(DATE($A$2,$A$3+$A$1-1,FW5),2),Sheet3!$D$1:$E$7,2,0))</f>
        <v/>
      </c>
      <c r="FX6" s="10" t="str">
        <f>IF(FX$5="","",VLOOKUP(WEEKDAY(DATE($A$2,$A$3+$A$1-1,FX5),2),Sheet3!$D$1:$E$7,2,0))</f>
        <v/>
      </c>
      <c r="FY6" s="10" t="str">
        <f>IF(FY$5="","",VLOOKUP(WEEKDAY(DATE($A$2,$A$3+$A$1-1,FY5),2),Sheet3!$D$1:$E$7,2,0))</f>
        <v/>
      </c>
      <c r="FZ6" s="10" t="str">
        <f>IF(FZ$5="","",VLOOKUP(WEEKDAY(DATE($A$2,$A$3+$A$1-1,FZ5),2),Sheet3!$D$1:$E$7,2,0))</f>
        <v/>
      </c>
      <c r="GA6" s="10" t="str">
        <f>IF(GA$5="","",VLOOKUP(WEEKDAY(DATE($A$2,$A$3+$A$1-1,GA5),2),Sheet3!$D$1:$E$7,2,0))</f>
        <v/>
      </c>
      <c r="GB6" s="10" t="str">
        <f>IF(GB$5="","",VLOOKUP(WEEKDAY(DATE($A$2,$A$3+$A$1-1,GB5),2),Sheet3!$D$1:$E$7,2,0))</f>
        <v/>
      </c>
      <c r="GC6" s="10" t="str">
        <f>IF(GC$5="","",VLOOKUP(WEEKDAY(DATE($A$2,$A$3+$A$1-1,GC5),2),Sheet3!$D$1:$E$7,2,0))</f>
        <v/>
      </c>
      <c r="GD6" s="10" t="str">
        <f>IF(GD$5="","",VLOOKUP(WEEKDAY(DATE($A$2,$A$3+$A$1-1,GD5),2),Sheet3!$D$1:$E$7,2,0))</f>
        <v/>
      </c>
      <c r="GE6" s="10" t="str">
        <f>IF(GE$5="","",VLOOKUP(WEEKDAY(DATE($A$2,$A$3+$A$1-1,GE5),2),Sheet3!$D$1:$E$7,2,0))</f>
        <v/>
      </c>
      <c r="GF6" s="10" t="str">
        <f>IF(GF$5="","",VLOOKUP(WEEKDAY(DATE($A$2,$A$3+$A$1-1,GF5),2),Sheet3!$D$1:$E$7,2,0))</f>
        <v/>
      </c>
      <c r="GG6" s="10" t="str">
        <f>IF(GG$5="","",VLOOKUP(WEEKDAY(DATE($A$2,$A$3+$A$1-1,GG5),2),Sheet3!$D$1:$E$7,2,0))</f>
        <v/>
      </c>
      <c r="GH6" s="10" t="str">
        <f>IF(GH$5="","",VLOOKUP(WEEKDAY(DATE($A$2,$A$3+$A$1-1,GH5),2),Sheet3!$D$1:$E$7,2,0))</f>
        <v/>
      </c>
      <c r="GI6" s="10" t="str">
        <f>IF(GI$5="","",VLOOKUP(WEEKDAY(DATE($A$2,$A$3+$A$1-1,GI5),2),Sheet3!$D$1:$E$7,2,0))</f>
        <v/>
      </c>
      <c r="GJ6" s="10" t="str">
        <f>IF(GJ$5="","",VLOOKUP(WEEKDAY(DATE($A$2,$A$3+$A$1-1,GJ5),2),Sheet3!$D$1:$E$7,2,0))</f>
        <v/>
      </c>
      <c r="GK6" s="10" t="str">
        <f>IF(GK$5="","",VLOOKUP(WEEKDAY(DATE($A$2,$A$3+$A$1-1,GK5),2),Sheet3!$D$1:$E$7,2,0))</f>
        <v/>
      </c>
      <c r="GL6" s="10" t="str">
        <f>IF(GL$5="","",VLOOKUP(WEEKDAY(DATE($A$2,$A$3+$A$1-1,GL5),2),Sheet3!$D$1:$E$7,2,0))</f>
        <v/>
      </c>
      <c r="GM6" s="10" t="str">
        <f>IF(GM$5="","",VLOOKUP(WEEKDAY(DATE($A$2,$A$3+$A$1-1,GM5),2),Sheet3!$D$1:$E$7,2,0))</f>
        <v/>
      </c>
      <c r="GN6" s="10" t="str">
        <f>IF(GN$5="","",VLOOKUP(WEEKDAY(DATE($A$2,$A$3+$A$1-1,GN5),2),Sheet3!$D$1:$E$7,2,0))</f>
        <v/>
      </c>
      <c r="GO6" s="10" t="str">
        <f>IF(GO$5="","",VLOOKUP(WEEKDAY(DATE($A$2,$A$3+$A$1-1,GO5),2),Sheet3!$D$1:$E$7,2,0))</f>
        <v/>
      </c>
      <c r="GP6" s="10" t="str">
        <f>IF(GP$5="","",VLOOKUP(WEEKDAY(DATE($A$2,$A$3+$A$1-1,GP5),2),Sheet3!$D$1:$E$7,2,0))</f>
        <v/>
      </c>
      <c r="GQ6" s="10" t="str">
        <f>IF(GQ$5="","",VLOOKUP(WEEKDAY(DATE($A$2,$A$3+$A$1-1,GQ5),2),Sheet3!$D$1:$E$7,2,0))</f>
        <v/>
      </c>
      <c r="GR6" s="10" t="str">
        <f>IF(GR$5="","",VLOOKUP(WEEKDAY(DATE($A$2,$A$3+$A$1-1,GR5),2),Sheet3!$D$1:$E$7,2,0))</f>
        <v/>
      </c>
      <c r="GS6" s="10" t="str">
        <f>IF(GS$5="","",VLOOKUP(WEEKDAY(DATE($A$2,$A$3+$A$1-1,GS5),2),Sheet3!$D$1:$E$7,2,0))</f>
        <v/>
      </c>
      <c r="GT6" s="10" t="str">
        <f>IF(GT$5="","",VLOOKUP(WEEKDAY(DATE($A$2,$A$3+$A$1-1,GT5),2),Sheet3!$D$1:$E$7,2,0))</f>
        <v/>
      </c>
      <c r="GU6" s="10" t="str">
        <f>IF(GU$5="","",VLOOKUP(WEEKDAY(DATE($A$2,$A$3+$A$1-1,GU5),2),Sheet3!$D$1:$E$7,2,0))</f>
        <v/>
      </c>
      <c r="GV6" s="10" t="str">
        <f>IF(GV$5="","",VLOOKUP(WEEKDAY(DATE($A$2,$A$3+$A$1-1,GV5),2),Sheet3!$D$1:$E$7,2,0))</f>
        <v/>
      </c>
      <c r="GW6" s="10" t="str">
        <f>IF(GW$5="","",VLOOKUP(WEEKDAY(DATE($A$2,$A$3+$A$1-1,GW5),2),Sheet3!$D$1:$E$7,2,0))</f>
        <v/>
      </c>
      <c r="GX6" s="10" t="str">
        <f>IF(GX$5="","",VLOOKUP(WEEKDAY(DATE($A$2,$A$3+$A$1-1,GX5),2),Sheet3!$D$1:$E$7,2,0))</f>
        <v/>
      </c>
      <c r="GY6" s="10" t="str">
        <f>IF(GY$5="","",VLOOKUP(WEEKDAY(DATE($A$2,$A$3+$A$1-1,GY5),2),Sheet3!$D$1:$E$7,2,0))</f>
        <v/>
      </c>
      <c r="GZ6" s="10" t="str">
        <f>IF(GZ$5="","",VLOOKUP(WEEKDAY(DATE($A$2,$A$3+$A$1-1,GZ5),2),Sheet3!$D$1:$E$7,2,0))</f>
        <v/>
      </c>
      <c r="HA6" s="10" t="str">
        <f>IF(HA$5="","",VLOOKUP(WEEKDAY(DATE($A$2,$A$3+$A$1-1,HA5),2),Sheet3!$D$1:$E$7,2,0))</f>
        <v/>
      </c>
      <c r="HB6" s="10" t="str">
        <f>IF(HB$5="","",VLOOKUP(WEEKDAY(DATE($A$2,$A$3+$A$1-1,HB5),2),Sheet3!$D$1:$E$7,2,0))</f>
        <v/>
      </c>
      <c r="HC6" s="10" t="str">
        <f>IF(HC$5="","",VLOOKUP(WEEKDAY(DATE($A$2,$A$3+$A$1-1,HC5),2),Sheet3!$D$1:$E$7,2,0))</f>
        <v/>
      </c>
      <c r="HD6" s="10" t="str">
        <f>IF(HD$5="","",VLOOKUP(WEEKDAY(DATE($A$2,$A$3+$A$1-1,HD5),2),Sheet3!$D$1:$E$7,2,0))</f>
        <v/>
      </c>
      <c r="HE6" s="10" t="str">
        <f>IF(HE$5="","",VLOOKUP(WEEKDAY(DATE($A$2,$A$3+$A$1-1,HE5),2),Sheet3!$D$1:$E$7,2,0))</f>
        <v/>
      </c>
      <c r="HF6" s="10" t="str">
        <f>IF(HF$5="","",VLOOKUP(WEEKDAY(DATE($A$2,$A$3+$A$1-1,HF5),2),Sheet3!$D$1:$E$7,2,0))</f>
        <v/>
      </c>
      <c r="HG6" s="10" t="str">
        <f>IF(HG$5="","",VLOOKUP(WEEKDAY(DATE($A$2,$A$3+$A$1-1,HG5),2),Sheet3!$D$1:$E$7,2,0))</f>
        <v/>
      </c>
      <c r="HH6" s="10" t="str">
        <f>IF(HH$5="","",VLOOKUP(WEEKDAY(DATE($A$2,$A$3+$A$1-1,HH5),2),Sheet3!$D$1:$E$7,2,0))</f>
        <v/>
      </c>
      <c r="HI6" s="10" t="str">
        <f>IF(HI$5="","",VLOOKUP(WEEKDAY(DATE($A$2,$A$3+$A$1-1,HI5),2),Sheet3!$D$1:$E$7,2,0))</f>
        <v/>
      </c>
      <c r="HJ6" s="10" t="str">
        <f>IF(HJ$5="","",VLOOKUP(WEEKDAY(DATE($A$2,$A$3+$A$1-1,HJ5),2),Sheet3!$D$1:$E$7,2,0))</f>
        <v/>
      </c>
      <c r="HK6" s="10" t="str">
        <f>IF(HK$5="","",VLOOKUP(WEEKDAY(DATE($A$2,$A$3+$A$1-1,HK5),2),Sheet3!$D$1:$E$7,2,0))</f>
        <v/>
      </c>
      <c r="HL6" s="10" t="str">
        <f>IF(HL$5="","",VLOOKUP(WEEKDAY(DATE($A$2,$A$3+$A$1-1,HL5),2),Sheet3!$D$1:$E$7,2,0))</f>
        <v/>
      </c>
      <c r="HM6" s="10" t="str">
        <f>IF(HM$5="","",VLOOKUP(WEEKDAY(DATE($A$2,$A$3+$A$1-1,HM5),2),Sheet3!$D$1:$E$7,2,0))</f>
        <v/>
      </c>
      <c r="HN6" s="10" t="str">
        <f>IF(HN$5="","",VLOOKUP(WEEKDAY(DATE($A$2,$A$3+$A$1-1,HN5),2),Sheet3!$D$1:$E$7,2,0))</f>
        <v/>
      </c>
      <c r="HO6" s="10" t="str">
        <f>IF(HO$5="","",VLOOKUP(WEEKDAY(DATE($A$2,$A$3+$A$1-1,HO5),2),Sheet3!$D$1:$E$7,2,0))</f>
        <v/>
      </c>
      <c r="HP6" s="10" t="str">
        <f>IF(HP$5="","",VLOOKUP(WEEKDAY(DATE($A$2,$A$3+$A$1-1,HP5),2),Sheet3!$D$1:$E$7,2,0))</f>
        <v/>
      </c>
      <c r="HQ6" s="10" t="str">
        <f>IF(HQ$5="","",VLOOKUP(WEEKDAY(DATE($A$2,$A$3+$A$1-1,HQ5),2),Sheet3!$D$1:$E$7,2,0))</f>
        <v/>
      </c>
      <c r="HR6" s="10" t="str">
        <f>IF(HR$5="","",VLOOKUP(WEEKDAY(DATE($A$2,$A$3+$A$1-1,HR5),2),Sheet3!$D$1:$E$7,2,0))</f>
        <v/>
      </c>
      <c r="HS6" s="10" t="str">
        <f>IF(HS$5="","",VLOOKUP(WEEKDAY(DATE($A$2,$A$3+$A$1-1,HS5),2),Sheet3!$D$1:$E$7,2,0))</f>
        <v/>
      </c>
      <c r="HT6" s="10" t="str">
        <f>IF(HT$5="","",VLOOKUP(WEEKDAY(DATE($A$2,$A$3+$A$1-1,HT5),2),Sheet3!$D$1:$E$7,2,0))</f>
        <v/>
      </c>
      <c r="HU6" s="10" t="str">
        <f>IF(HU$5="","",VLOOKUP(WEEKDAY(DATE($A$2,$A$3+$A$1-1,HU5),2),Sheet3!$D$1:$E$7,2,0))</f>
        <v/>
      </c>
      <c r="HV6" s="10" t="str">
        <f>IF(HV$5="","",VLOOKUP(WEEKDAY(DATE($A$2,$A$3+$A$1-1,HV5),2),Sheet3!$D$1:$E$7,2,0))</f>
        <v/>
      </c>
      <c r="HW6" s="10" t="str">
        <f>IF(HW$5="","",VLOOKUP(WEEKDAY(DATE($A$2,$A$3+$A$1-1,HW5),2),Sheet3!$D$1:$E$7,2,0))</f>
        <v/>
      </c>
      <c r="HX6" s="10" t="str">
        <f>IF(HX$5="","",VLOOKUP(WEEKDAY(DATE($A$2,$A$3+$A$1-1,HX5),2),Sheet3!$D$1:$E$7,2,0))</f>
        <v/>
      </c>
      <c r="HY6" s="10" t="str">
        <f>IF(HY$5="","",VLOOKUP(WEEKDAY(DATE($A$2,$A$3+$A$1-1,HY5),2),Sheet3!$D$1:$E$7,2,0))</f>
        <v/>
      </c>
      <c r="HZ6" s="10" t="str">
        <f>IF(HZ$5="","",VLOOKUP(WEEKDAY(DATE($A$2,$A$3+$A$1-1,HZ5),2),Sheet3!$D$1:$E$7,2,0))</f>
        <v/>
      </c>
      <c r="IA6" s="10" t="str">
        <f>IF(IA$5="","",VLOOKUP(WEEKDAY(DATE($A$2,$A$3+$A$1-1,IA5),2),Sheet3!$D$1:$E$7,2,0))</f>
        <v/>
      </c>
      <c r="IB6" s="10" t="str">
        <f>IF(IB$5="","",VLOOKUP(WEEKDAY(DATE($A$2,$A$3+$A$1-1,IB5),2),Sheet3!$D$1:$E$7,2,0))</f>
        <v/>
      </c>
      <c r="IC6" s="10" t="str">
        <f>IF(IC$5="","",VLOOKUP(WEEKDAY(DATE($A$2,$A$3+$A$1-1,IC5),2),Sheet3!$D$1:$E$7,2,0))</f>
        <v/>
      </c>
      <c r="ID6" s="10" t="str">
        <f>IF(ID$5="","",VLOOKUP(WEEKDAY(DATE($A$2,$A$3+$A$1-1,ID5),2),Sheet3!$D$1:$E$7,2,0))</f>
        <v/>
      </c>
      <c r="IE6" s="10" t="str">
        <f>IF(IE$5="","",VLOOKUP(WEEKDAY(DATE($A$2,$A$3+$A$1-1,IE5),2),Sheet3!$D$1:$E$7,2,0))</f>
        <v/>
      </c>
      <c r="IF6" s="10" t="str">
        <f>IF(IF$5="","",VLOOKUP(WEEKDAY(DATE($A$2,$A$3+$A$1-1,IF5),2),Sheet3!$D$1:$E$7,2,0))</f>
        <v/>
      </c>
      <c r="IG6" s="10" t="str">
        <f>IF(IG$5="","",VLOOKUP(WEEKDAY(DATE($A$2,$A$3+$A$1-1,IG5),2),Sheet3!$D$1:$E$7,2,0))</f>
        <v/>
      </c>
      <c r="IH6" s="10" t="str">
        <f>IF(IH$5="","",VLOOKUP(WEEKDAY(DATE($A$2,$A$3+$A$1-1,IH5),2),Sheet3!$D$1:$E$7,2,0))</f>
        <v/>
      </c>
      <c r="II6" s="10" t="str">
        <f>IF(II$5="","",VLOOKUP(WEEKDAY(DATE($A$2,$A$3+$A$1-1,II5),2),Sheet3!$D$1:$E$7,2,0))</f>
        <v/>
      </c>
      <c r="IJ6" s="10" t="str">
        <f>IF(IJ$5="","",VLOOKUP(WEEKDAY(DATE($A$2,$A$3+$A$1-1,IJ5),2),Sheet3!$D$1:$E$7,2,0))</f>
        <v/>
      </c>
      <c r="IK6" s="10" t="str">
        <f>IF(IK$5="","",VLOOKUP(WEEKDAY(DATE($A$2,$A$3+$A$1-1,IK5),2),Sheet3!$D$1:$E$7,2,0))</f>
        <v/>
      </c>
      <c r="IL6" s="10" t="str">
        <f>IF(IL$5="","",VLOOKUP(WEEKDAY(DATE($A$2,$A$3+$A$1-1,IL5),2),Sheet3!$D$1:$E$7,2,0))</f>
        <v/>
      </c>
      <c r="IM6" s="10" t="str">
        <f>IF(IM$5="","",VLOOKUP(WEEKDAY(DATE($A$2,$A$3+$A$1-1,IM5),2),Sheet3!$D$1:$E$7,2,0))</f>
        <v/>
      </c>
      <c r="IN6" s="10" t="str">
        <f>IF(IN$5="","",VLOOKUP(WEEKDAY(DATE($A$2,$A$3+$A$1-1,IN5),2),Sheet3!$D$1:$E$7,2,0))</f>
        <v/>
      </c>
      <c r="IO6" s="10" t="str">
        <f>IF(IO$5="","",VLOOKUP(WEEKDAY(DATE($A$2,$A$3+$A$1-1,IO5),2),Sheet3!$D$1:$E$7,2,0))</f>
        <v/>
      </c>
      <c r="IP6" s="10" t="str">
        <f>IF(IP$5="","",VLOOKUP(WEEKDAY(DATE($A$2,$A$3+$A$1-1,IP5),2),Sheet3!$D$1:$E$7,2,0))</f>
        <v/>
      </c>
      <c r="IQ6" s="10" t="str">
        <f>IF(IQ$5="","",VLOOKUP(WEEKDAY(DATE($A$2,$A$3+$A$1-1,IQ5),2),Sheet3!$D$1:$E$7,2,0))</f>
        <v/>
      </c>
      <c r="IR6" s="10" t="str">
        <f>IF(IR$5="","",VLOOKUP(WEEKDAY(DATE($A$2,$A$3+$A$1-1,IR5),2),Sheet3!$D$1:$E$7,2,0))</f>
        <v/>
      </c>
      <c r="IS6" s="10" t="str">
        <f>IF(IS$5="","",VLOOKUP(WEEKDAY(DATE($A$2,$A$3+$A$1-1,IS5),2),Sheet3!$D$1:$E$7,2,0))</f>
        <v/>
      </c>
      <c r="IT6" s="10" t="str">
        <f>IF(IT$5="","",VLOOKUP(WEEKDAY(DATE($A$2,$A$3+$A$1-1,IT5),2),Sheet3!$D$1:$E$7,2,0))</f>
        <v/>
      </c>
      <c r="IU6" s="10" t="str">
        <f>IF(IU$5="","",VLOOKUP(WEEKDAY(DATE($A$2,$A$3+$A$1-1,IU5),2),Sheet3!$D$1:$E$7,2,0))</f>
        <v/>
      </c>
      <c r="IV6" s="10" t="str">
        <f>IF(IV$5="","",VLOOKUP(WEEKDAY(DATE($A$2,$A$3+$A$1-1,IV5),2),Sheet3!$D$1:$E$7,2,0))</f>
        <v/>
      </c>
      <c r="IW6" s="10" t="str">
        <f>IF(IW$5="","",VLOOKUP(WEEKDAY(DATE($A$2,$A$3+$A$1-1,IW5),2),Sheet3!$D$1:$E$7,2,0))</f>
        <v/>
      </c>
      <c r="IX6" s="10" t="str">
        <f>IF(IX$5="","",VLOOKUP(WEEKDAY(DATE($A$2,$A$3+$A$1-1,IX5),2),Sheet3!$D$1:$E$7,2,0))</f>
        <v/>
      </c>
      <c r="IY6" s="10" t="str">
        <f>IF(IY$5="","",VLOOKUP(WEEKDAY(DATE($A$2,$A$3+$A$1-1,IY5),2),Sheet3!$D$1:$E$7,2,0))</f>
        <v/>
      </c>
      <c r="IZ6" s="10" t="str">
        <f>IF(IZ$5="","",VLOOKUP(WEEKDAY(DATE($A$2,$A$3+$A$1-1,IZ5),2),Sheet3!$D$1:$E$7,2,0))</f>
        <v/>
      </c>
      <c r="JA6" s="10" t="str">
        <f>IF(JA$5="","",VLOOKUP(WEEKDAY(DATE($A$2,$A$3+$A$1-1,JA5),2),Sheet3!$D$1:$E$7,2,0))</f>
        <v/>
      </c>
      <c r="JB6" s="10" t="str">
        <f>IF(JB$5="","",VLOOKUP(WEEKDAY(DATE($A$2,$A$3+$A$1-1,JB5),2),Sheet3!$D$1:$E$7,2,0))</f>
        <v/>
      </c>
      <c r="JC6" s="10" t="str">
        <f>IF(JC$5="","",VLOOKUP(WEEKDAY(DATE($A$2,$A$3+$A$1-1,JC5),2),Sheet3!$D$1:$E$7,2,0))</f>
        <v/>
      </c>
      <c r="JD6" s="10" t="str">
        <f>IF(JD$5="","",VLOOKUP(WEEKDAY(DATE($A$2,$A$3+$A$1-1,JD5),2),Sheet3!$D$1:$E$7,2,0))</f>
        <v/>
      </c>
      <c r="JE6" s="10" t="str">
        <f>IF(JE$5="","",VLOOKUP(WEEKDAY(DATE($A$2,$A$3+$A$1-1,JE5),2),Sheet3!$D$1:$E$7,2,0))</f>
        <v/>
      </c>
      <c r="JF6" s="10" t="str">
        <f>IF(JF$5="","",VLOOKUP(WEEKDAY(DATE($A$2,$A$3+$A$1-1,JF5),2),Sheet3!$D$1:$E$7,2,0))</f>
        <v/>
      </c>
      <c r="JG6" s="10" t="str">
        <f>IF(JG$5="","",VLOOKUP(WEEKDAY(DATE($A$2,$A$3+$A$1-1,JG5),2),Sheet3!$D$1:$E$7,2,0))</f>
        <v/>
      </c>
      <c r="JH6" s="10" t="str">
        <f>IF(JH$5="","",VLOOKUP(WEEKDAY(DATE($A$2,$A$3+$A$1-1,JH5),2),Sheet3!$D$1:$E$7,2,0))</f>
        <v/>
      </c>
      <c r="JI6" s="10" t="str">
        <f>IF(JI$5="","",VLOOKUP(WEEKDAY(DATE($A$2,$A$3+$A$1-1,JI5),2),Sheet3!$D$1:$E$7,2,0))</f>
        <v/>
      </c>
      <c r="JJ6" s="10" t="str">
        <f>IF(JJ$5="","",VLOOKUP(WEEKDAY(DATE($A$2,$A$3+$A$1-1,JJ5),2),Sheet3!$D$1:$E$7,2,0))</f>
        <v/>
      </c>
      <c r="JK6" s="10" t="str">
        <f>IF(JK$5="","",VLOOKUP(WEEKDAY(DATE($A$2,$A$3+$A$1-1,JK5),2),Sheet3!$D$1:$E$7,2,0))</f>
        <v/>
      </c>
      <c r="JL6" s="10" t="str">
        <f>IF(JL$5="","",VLOOKUP(WEEKDAY(DATE($A$2,$A$3+$A$1-1,JL5),2),Sheet3!$D$1:$E$7,2,0))</f>
        <v/>
      </c>
      <c r="JM6" s="10" t="str">
        <f>IF(JM$5="","",VLOOKUP(WEEKDAY(DATE($A$2,$A$3+$A$1-1,JM5),2),Sheet3!$D$1:$E$7,2,0))</f>
        <v/>
      </c>
      <c r="JN6" s="10" t="str">
        <f>IF(JN$5="","",VLOOKUP(WEEKDAY(DATE($A$2,$A$3+$A$1-1,JN5),2),Sheet3!$D$1:$E$7,2,0))</f>
        <v/>
      </c>
      <c r="JO6" s="10" t="str">
        <f>IF(JO$5="","",VLOOKUP(WEEKDAY(DATE($A$2,$A$3+$A$1-1,JO5),2),Sheet3!$D$1:$E$7,2,0))</f>
        <v/>
      </c>
      <c r="JP6" s="10" t="str">
        <f>IF(JP$5="","",VLOOKUP(WEEKDAY(DATE($A$2,$A$3+$A$1-1,JP5),2),Sheet3!$D$1:$E$7,2,0))</f>
        <v/>
      </c>
      <c r="JQ6" s="10" t="str">
        <f>IF(JQ$5="","",VLOOKUP(WEEKDAY(DATE($A$2,$A$3+$A$1-1,JQ5),2),Sheet3!$D$1:$E$7,2,0))</f>
        <v/>
      </c>
      <c r="JR6" s="10" t="str">
        <f>IF(JR$5="","",VLOOKUP(WEEKDAY(DATE($A$2,$A$3+$A$1-1,JR5),2),Sheet3!$D$1:$E$7,2,0))</f>
        <v/>
      </c>
      <c r="JS6" s="10" t="str">
        <f>IF(JS$5="","",VLOOKUP(WEEKDAY(DATE($A$2,$A$3+$A$1-1,JS5),2),Sheet3!$D$1:$E$7,2,0))</f>
        <v/>
      </c>
      <c r="JT6" s="10" t="str">
        <f>IF(JT$5="","",VLOOKUP(WEEKDAY(DATE($A$2,$A$3+$A$1-1,JT5),2),Sheet3!$D$1:$E$7,2,0))</f>
        <v/>
      </c>
      <c r="JU6" s="10" t="str">
        <f>IF(JU$5="","",VLOOKUP(WEEKDAY(DATE($A$2,$A$3+$A$1-1,JU5),2),Sheet3!$D$1:$E$7,2,0))</f>
        <v/>
      </c>
      <c r="JV6" s="10" t="str">
        <f>IF(JV$5="","",VLOOKUP(WEEKDAY(DATE($A$2,$A$3+$A$1-1,JV5),2),Sheet3!$D$1:$E$7,2,0))</f>
        <v/>
      </c>
      <c r="JW6" s="10" t="str">
        <f>IF(JW$5="","",VLOOKUP(WEEKDAY(DATE($A$2,$A$3+$A$1-1,JW5),2),Sheet3!$D$1:$E$7,2,0))</f>
        <v/>
      </c>
      <c r="JX6" s="10" t="str">
        <f>IF(JX$5="","",VLOOKUP(WEEKDAY(DATE($A$2,$A$3+$A$1-1,JX5),2),Sheet3!$D$1:$E$7,2,0))</f>
        <v/>
      </c>
      <c r="JY6" s="10" t="str">
        <f>IF(JY$5="","",VLOOKUP(WEEKDAY(DATE($A$2,$A$3+$A$1-1,JY5),2),Sheet3!$D$1:$E$7,2,0))</f>
        <v/>
      </c>
      <c r="JZ6" s="10" t="str">
        <f>IF(JZ$5="","",VLOOKUP(WEEKDAY(DATE($A$2,$A$3+$A$1-1,JZ5),2),Sheet3!$D$1:$E$7,2,0))</f>
        <v/>
      </c>
      <c r="KA6" s="10" t="str">
        <f>IF(KA$5="","",VLOOKUP(WEEKDAY(DATE($A$2,$A$3+$A$1-1,KA5),2),Sheet3!$D$1:$E$7,2,0))</f>
        <v/>
      </c>
      <c r="KB6" s="10" t="str">
        <f>IF(KB$5="","",VLOOKUP(WEEKDAY(DATE($A$2,$A$3+$A$1-1,KB5),2),Sheet3!$D$1:$E$7,2,0))</f>
        <v/>
      </c>
      <c r="KC6" s="10" t="str">
        <f>IF(KC$5="","",VLOOKUP(WEEKDAY(DATE($A$2,$A$3+$A$1-1,KC5),2),Sheet3!$D$1:$E$7,2,0))</f>
        <v/>
      </c>
      <c r="KD6" s="10" t="str">
        <f>IF(KD$5="","",VLOOKUP(WEEKDAY(DATE($A$2,$A$3+$A$1-1,KD5),2),Sheet3!$D$1:$E$7,2,0))</f>
        <v/>
      </c>
      <c r="KE6" s="10" t="str">
        <f>IF(KE$5="","",VLOOKUP(WEEKDAY(DATE($A$2,$A$3+$A$1-1,KE5),2),Sheet3!$D$1:$E$7,2,0))</f>
        <v/>
      </c>
      <c r="KF6" s="10" t="str">
        <f>IF(KF$5="","",VLOOKUP(WEEKDAY(DATE($A$2,$A$3+$A$1-1,KF5),2),Sheet3!$D$1:$E$7,2,0))</f>
        <v/>
      </c>
      <c r="KG6" s="10" t="str">
        <f>IF(KG$5="","",VLOOKUP(WEEKDAY(DATE($A$2,$A$3+$A$1-1,KG5),2),Sheet3!$D$1:$E$7,2,0))</f>
        <v/>
      </c>
      <c r="KH6" s="10" t="str">
        <f>IF(KH$5="","",VLOOKUP(WEEKDAY(DATE($A$2,$A$3+$A$1-1,KH5),2),Sheet3!$D$1:$E$7,2,0))</f>
        <v/>
      </c>
      <c r="KI6" s="10" t="str">
        <f>IF(KI$5="","",VLOOKUP(WEEKDAY(DATE($A$2,$A$3+$A$1-1,KI5),2),Sheet3!$D$1:$E$7,2,0))</f>
        <v/>
      </c>
      <c r="KJ6" s="10" t="str">
        <f>IF(KJ$5="","",VLOOKUP(WEEKDAY(DATE($A$2,$A$3+$A$1-1,KJ5),2),Sheet3!$D$1:$E$7,2,0))</f>
        <v/>
      </c>
      <c r="KK6" s="10" t="str">
        <f>IF(KK$5="","",VLOOKUP(WEEKDAY(DATE($A$2,$A$3+$A$1-1,KK5),2),Sheet3!$D$1:$E$7,2,0))</f>
        <v/>
      </c>
      <c r="KL6" s="10" t="str">
        <f>IF(KL$5="","",VLOOKUP(WEEKDAY(DATE($A$2,$A$3+$A$1-1,KL5),2),Sheet3!$D$1:$E$7,2,0))</f>
        <v/>
      </c>
      <c r="KM6" s="10" t="str">
        <f>IF(KM$5="","",VLOOKUP(WEEKDAY(DATE($A$2,$A$3+$A$1-1,KM5),2),Sheet3!$D$1:$E$7,2,0))</f>
        <v/>
      </c>
      <c r="KN6" s="10" t="str">
        <f>IF(KN$5="","",VLOOKUP(WEEKDAY(DATE($A$2,$A$3+$A$1-1,KN5),2),Sheet3!$D$1:$E$7,2,0))</f>
        <v/>
      </c>
      <c r="KO6" s="10" t="str">
        <f>IF(KO$5="","",VLOOKUP(WEEKDAY(DATE($A$2,$A$3+$A$1-1,KO5),2),Sheet3!$D$1:$E$7,2,0))</f>
        <v/>
      </c>
      <c r="KP6" s="10" t="str">
        <f>IF(KP$5="","",VLOOKUP(WEEKDAY(DATE($A$2,$A$3+$A$1-1,KP5),2),Sheet3!$D$1:$E$7,2,0))</f>
        <v/>
      </c>
      <c r="KQ6" s="10" t="str">
        <f>IF(KQ$5="","",VLOOKUP(WEEKDAY(DATE($A$2,$A$3+$A$1-1,KQ5),2),Sheet3!$D$1:$E$7,2,0))</f>
        <v/>
      </c>
      <c r="KR6" s="10" t="str">
        <f>IF(KR$5="","",VLOOKUP(WEEKDAY(DATE($A$2,$A$3+$A$1-1,KR5),2),Sheet3!$D$1:$E$7,2,0))</f>
        <v/>
      </c>
      <c r="KS6" s="10" t="str">
        <f>IF(KS$5="","",VLOOKUP(WEEKDAY(DATE($A$2,$A$3+$A$1-1,KS5),2),Sheet3!$D$1:$E$7,2,0))</f>
        <v/>
      </c>
      <c r="KT6" s="10" t="str">
        <f>IF(KT$5="","",VLOOKUP(WEEKDAY(DATE($A$2,$A$3+$A$1-1,KT5),2),Sheet3!$D$1:$E$7,2,0))</f>
        <v/>
      </c>
      <c r="KU6" s="10" t="str">
        <f>IF(KU$5="","",VLOOKUP(WEEKDAY(DATE($A$2,$A$3+$A$1-1,KU5),2),Sheet3!$D$1:$E$7,2,0))</f>
        <v/>
      </c>
      <c r="KV6" s="10" t="str">
        <f>IF(KV$5="","",VLOOKUP(WEEKDAY(DATE($A$2,$A$3+$A$1-1,KV5),2),Sheet3!$D$1:$E$7,2,0))</f>
        <v/>
      </c>
      <c r="KW6" s="10" t="str">
        <f>IF(KW$5="","",VLOOKUP(WEEKDAY(DATE($A$2,$A$3+$A$1-1,KW5),2),Sheet3!$D$1:$E$7,2,0))</f>
        <v/>
      </c>
      <c r="KX6" s="10" t="str">
        <f>IF(KX$5="","",VLOOKUP(WEEKDAY(DATE($A$2,$A$3+$A$1-1,KX5),2),Sheet3!$D$1:$E$7,2,0))</f>
        <v/>
      </c>
      <c r="KY6" s="10" t="str">
        <f>IF(KY$5="","",VLOOKUP(WEEKDAY(DATE($A$2,$A$3+$A$1-1,KY5),2),Sheet3!$D$1:$E$7,2,0))</f>
        <v/>
      </c>
      <c r="KZ6" s="10" t="str">
        <f>IF(KZ$5="","",VLOOKUP(WEEKDAY(DATE($A$2,$A$3+$A$1-1,KZ5),2),Sheet3!$D$1:$E$7,2,0))</f>
        <v/>
      </c>
      <c r="LA6" s="10" t="str">
        <f>IF(LA$5="","",VLOOKUP(WEEKDAY(DATE($A$2,$A$3+$A$1-1,LA5),2),Sheet3!$D$1:$E$7,2,0))</f>
        <v/>
      </c>
      <c r="LB6" s="10" t="str">
        <f>IF(LB$5="","",VLOOKUP(WEEKDAY(DATE($A$2,$A$3+$A$1-1,LB5),2),Sheet3!$D$1:$E$7,2,0))</f>
        <v/>
      </c>
      <c r="LC6" s="10" t="str">
        <f>IF(LC$5="","",VLOOKUP(WEEKDAY(DATE($A$2,$A$3+$A$1-1,LC5),2),Sheet3!$D$1:$E$7,2,0))</f>
        <v/>
      </c>
      <c r="LD6" s="10" t="str">
        <f>IF(LD$5="","",VLOOKUP(WEEKDAY(DATE($A$2,$A$3+$A$1-1,LD5),2),Sheet3!$D$1:$E$7,2,0))</f>
        <v/>
      </c>
      <c r="LE6" s="10" t="str">
        <f>IF(LE$5="","",VLOOKUP(WEEKDAY(DATE($A$2,$A$3+$A$1-1,LE5),2),Sheet3!$D$1:$E$7,2,0))</f>
        <v/>
      </c>
      <c r="LF6" s="10" t="str">
        <f>IF(LF$5="","",VLOOKUP(WEEKDAY(DATE($A$2,$A$3+$A$1-1,LF5),2),Sheet3!$D$1:$E$7,2,0))</f>
        <v/>
      </c>
      <c r="LG6" s="10" t="str">
        <f>IF(LG$5="","",VLOOKUP(WEEKDAY(DATE($A$2,$A$3+$A$1-1,LG5),2),Sheet3!$D$1:$E$7,2,0))</f>
        <v/>
      </c>
      <c r="LH6" s="10" t="str">
        <f>IF(LH$5="","",VLOOKUP(WEEKDAY(DATE($A$2,$A$3+$A$1-1,LH5),2),Sheet3!$D$1:$E$7,2,0))</f>
        <v/>
      </c>
      <c r="LI6" s="10" t="str">
        <f>IF(LI$5="","",VLOOKUP(WEEKDAY(DATE($A$2,$A$3+$A$1-1,LI5),2),Sheet3!$D$1:$E$7,2,0))</f>
        <v/>
      </c>
      <c r="LJ6" s="10" t="str">
        <f>IF(LJ$5="","",VLOOKUP(WEEKDAY(DATE($A$2,$A$3+$A$1-1,LJ5),2),Sheet3!$D$1:$E$7,2,0))</f>
        <v/>
      </c>
      <c r="LK6" s="10" t="str">
        <f>IF(LK$5="","",VLOOKUP(WEEKDAY(DATE($A$2,$A$3+$A$1-1,LK5),2),Sheet3!$D$1:$E$7,2,0))</f>
        <v/>
      </c>
      <c r="LL6" s="10" t="str">
        <f>IF(LL$5="","",VLOOKUP(WEEKDAY(DATE($A$2,$A$3+$A$1-1,LL5),2),Sheet3!$D$1:$E$7,2,0))</f>
        <v/>
      </c>
      <c r="LM6" s="10" t="str">
        <f>IF(LM$5="","",VLOOKUP(WEEKDAY(DATE($A$2,$A$3+$A$1-1,LM5),2),Sheet3!$D$1:$E$7,2,0))</f>
        <v/>
      </c>
      <c r="LN6" s="10" t="str">
        <f>IF(LN$5="","",VLOOKUP(WEEKDAY(DATE($A$2,$A$3+$A$1-1,LN5),2),Sheet3!$D$1:$E$7,2,0))</f>
        <v/>
      </c>
      <c r="LO6" s="10" t="str">
        <f>IF(LO$5="","",VLOOKUP(WEEKDAY(DATE($A$2,$A$3+$A$1-1,LO5),2),Sheet3!$D$1:$E$7,2,0))</f>
        <v/>
      </c>
      <c r="LP6" s="10" t="str">
        <f>IF(LP$5="","",VLOOKUP(WEEKDAY(DATE($A$2,$A$3+$A$1-1,LP5),2),Sheet3!$D$1:$E$7,2,0))</f>
        <v/>
      </c>
      <c r="LQ6" s="10" t="str">
        <f>IF(LQ$5="","",VLOOKUP(WEEKDAY(DATE($A$2,$A$3+$A$1-1,LQ5),2),Sheet3!$D$1:$E$7,2,0))</f>
        <v/>
      </c>
      <c r="LR6" s="10" t="str">
        <f>IF(LR$5="","",VLOOKUP(WEEKDAY(DATE($A$2,$A$3+$A$1-1,LR5),2),Sheet3!$D$1:$E$7,2,0))</f>
        <v/>
      </c>
      <c r="LS6" s="10" t="str">
        <f>IF(LS$5="","",VLOOKUP(WEEKDAY(DATE($A$2,$A$3+$A$1-1,LS5),2),Sheet3!$D$1:$E$7,2,0))</f>
        <v/>
      </c>
      <c r="LT6" s="10" t="str">
        <f>IF(LT$5="","",VLOOKUP(WEEKDAY(DATE($A$2,$A$3+$A$1-1,LT5),2),Sheet3!$D$1:$E$7,2,0))</f>
        <v/>
      </c>
      <c r="LU6" s="10" t="str">
        <f>IF(LU$5="","",VLOOKUP(WEEKDAY(DATE($A$2,$A$3+$A$1-1,LU5),2),Sheet3!$D$1:$E$7,2,0))</f>
        <v/>
      </c>
      <c r="LV6" s="10" t="str">
        <f>IF(LV$5="","",VLOOKUP(WEEKDAY(DATE($A$2,$A$3+$A$1-1,LV5),2),Sheet3!$D$1:$E$7,2,0))</f>
        <v/>
      </c>
      <c r="LW6" s="10" t="str">
        <f>IF(LW$5="","",VLOOKUP(WEEKDAY(DATE($A$2,$A$3+$A$1-1,LW5),2),Sheet3!$D$1:$E$7,2,0))</f>
        <v/>
      </c>
      <c r="LX6" s="10" t="str">
        <f>IF(LX$5="","",VLOOKUP(WEEKDAY(DATE($A$2,$A$3+$A$1-1,LX5),2),Sheet3!$D$1:$E$7,2,0))</f>
        <v/>
      </c>
      <c r="LY6" s="10" t="str">
        <f>IF(LY$5="","",VLOOKUP(WEEKDAY(DATE($A$2,$A$3+$A$1-1,LY5),2),Sheet3!$D$1:$E$7,2,0))</f>
        <v/>
      </c>
      <c r="LZ6" s="10" t="str">
        <f>IF(LZ$5="","",VLOOKUP(WEEKDAY(DATE($A$2,$A$3+$A$1-1,LZ5),2),Sheet3!$D$1:$E$7,2,0))</f>
        <v/>
      </c>
      <c r="MA6" s="10" t="str">
        <f>IF(MA$5="","",VLOOKUP(WEEKDAY(DATE($A$2,$A$3+$A$1-1,MA5),2),Sheet3!$D$1:$E$7,2,0))</f>
        <v/>
      </c>
      <c r="MB6" s="10" t="str">
        <f>IF(MB$5="","",VLOOKUP(WEEKDAY(DATE($A$2,$A$3+$A$1-1,MB5),2),Sheet3!$D$1:$E$7,2,0))</f>
        <v/>
      </c>
      <c r="MC6" s="10" t="str">
        <f>IF(MC$5="","",VLOOKUP(WEEKDAY(DATE($A$2,$A$3+$A$1-1,MC5),2),Sheet3!$D$1:$E$7,2,0))</f>
        <v/>
      </c>
      <c r="MD6" s="10" t="str">
        <f>IF(MD$5="","",VLOOKUP(WEEKDAY(DATE($A$2,$A$3+$A$1-1,MD5),2),Sheet3!$D$1:$E$7,2,0))</f>
        <v/>
      </c>
      <c r="ME6" s="10" t="str">
        <f>IF(ME$5="","",VLOOKUP(WEEKDAY(DATE($A$2,$A$3+$A$1-1,ME5),2),Sheet3!$D$1:$E$7,2,0))</f>
        <v/>
      </c>
      <c r="MF6" s="10" t="str">
        <f>IF(MF$5="","",VLOOKUP(WEEKDAY(DATE($A$2,$A$3+$A$1-1,MF5),2),Sheet3!$D$1:$E$7,2,0))</f>
        <v/>
      </c>
      <c r="MG6" s="10" t="str">
        <f>IF(MG$5="","",VLOOKUP(WEEKDAY(DATE($A$2,$A$3+$A$1-1,MG5),2),Sheet3!$D$1:$E$7,2,0))</f>
        <v/>
      </c>
      <c r="MH6" s="10" t="str">
        <f>IF(MH$5="","",VLOOKUP(WEEKDAY(DATE($A$2,$A$3+$A$1-1,MH5),2),Sheet3!$D$1:$E$7,2,0))</f>
        <v/>
      </c>
      <c r="MI6" s="10" t="str">
        <f>IF(MI$5="","",VLOOKUP(WEEKDAY(DATE($A$2,$A$3+$A$1-1,MI5),2),Sheet3!$D$1:$E$7,2,0))</f>
        <v/>
      </c>
      <c r="MJ6" s="10" t="str">
        <f>IF(MJ$5="","",VLOOKUP(WEEKDAY(DATE($A$2,$A$3+$A$1-1,MJ5),2),Sheet3!$D$1:$E$7,2,0))</f>
        <v/>
      </c>
      <c r="MK6" s="10" t="str">
        <f>IF(MK$5="","",VLOOKUP(WEEKDAY(DATE($A$2,$A$3+$A$1-1,MK5),2),Sheet3!$D$1:$E$7,2,0))</f>
        <v/>
      </c>
      <c r="ML6" s="10" t="str">
        <f>IF(ML$5="","",VLOOKUP(WEEKDAY(DATE($A$2,$A$3+$A$1-1,ML5),2),Sheet3!$D$1:$E$7,2,0))</f>
        <v/>
      </c>
      <c r="MM6" s="10" t="str">
        <f>IF(MM$5="","",VLOOKUP(WEEKDAY(DATE($A$2,$A$3+$A$1-1,MM5),2),Sheet3!$D$1:$E$7,2,0))</f>
        <v/>
      </c>
      <c r="MN6" s="10" t="str">
        <f>IF(MN$5="","",VLOOKUP(WEEKDAY(DATE($A$2,$A$3+$A$1-1,MN5),2),Sheet3!$D$1:$E$7,2,0))</f>
        <v/>
      </c>
      <c r="MO6" s="10" t="str">
        <f>IF(MO$5="","",VLOOKUP(WEEKDAY(DATE($A$2,$A$3+$A$1-1,MO5),2),Sheet3!$D$1:$E$7,2,0))</f>
        <v/>
      </c>
      <c r="MP6" s="10" t="str">
        <f>IF(MP$5="","",VLOOKUP(WEEKDAY(DATE($A$2,$A$3+$A$1-1,MP5),2),Sheet3!$D$1:$E$7,2,0))</f>
        <v/>
      </c>
      <c r="MQ6" s="10" t="str">
        <f>IF(MQ$5="","",VLOOKUP(WEEKDAY(DATE($A$2,$A$3+$A$1-1,MQ5),2),Sheet3!$D$1:$E$7,2,0))</f>
        <v/>
      </c>
      <c r="MR6" s="10" t="str">
        <f>IF(MR$5="","",VLOOKUP(WEEKDAY(DATE($A$2,$A$3+$A$1-1,MR5),2),Sheet3!$D$1:$E$7,2,0))</f>
        <v/>
      </c>
      <c r="MS6" s="10" t="str">
        <f>IF(MS$5="","",VLOOKUP(WEEKDAY(DATE($A$2,$A$3+$A$1-1,MS5),2),Sheet3!$D$1:$E$7,2,0))</f>
        <v/>
      </c>
      <c r="MT6" s="10" t="str">
        <f>IF(MT$5="","",VLOOKUP(WEEKDAY(DATE($A$2,$A$3+$A$1-1,MT5),2),Sheet3!$D$1:$E$7,2,0))</f>
        <v/>
      </c>
      <c r="MU6" s="10" t="str">
        <f>IF(MU$5="","",VLOOKUP(WEEKDAY(DATE($A$2,$A$3+$A$1-1,MU5),2),Sheet3!$D$1:$E$7,2,0))</f>
        <v/>
      </c>
      <c r="MV6" s="10" t="str">
        <f>IF(MV$5="","",VLOOKUP(WEEKDAY(DATE($A$2,$A$3+$A$1-1,MV5),2),Sheet3!$D$1:$E$7,2,0))</f>
        <v/>
      </c>
      <c r="MW6" s="10" t="str">
        <f>IF(MW$5="","",VLOOKUP(WEEKDAY(DATE($A$2,$A$3+$A$1-1,MW5),2),Sheet3!$D$1:$E$7,2,0))</f>
        <v/>
      </c>
      <c r="MX6" s="10" t="str">
        <f>IF(MX$5="","",VLOOKUP(WEEKDAY(DATE($A$2,$A$3+$A$1-1,MX5),2),Sheet3!$D$1:$E$7,2,0))</f>
        <v/>
      </c>
      <c r="MY6" s="10" t="str">
        <f>IF(MY$5="","",VLOOKUP(WEEKDAY(DATE($A$2,$A$3+$A$1-1,MY5),2),Sheet3!$D$1:$E$7,2,0))</f>
        <v/>
      </c>
      <c r="MZ6" s="10" t="str">
        <f>IF(MZ$5="","",VLOOKUP(WEEKDAY(DATE($A$2,$A$3+$A$1-1,MZ5),2),Sheet3!$D$1:$E$7,2,0))</f>
        <v/>
      </c>
      <c r="NA6" s="10" t="str">
        <f>IF(NA$5="","",VLOOKUP(WEEKDAY(DATE($A$2,$A$3+$A$1-1,NA5),2),Sheet3!$D$1:$E$7,2,0))</f>
        <v/>
      </c>
      <c r="NB6" s="10" t="str">
        <f>IF(NB$5="","",VLOOKUP(WEEKDAY(DATE($A$2,$A$3+$A$1-1,NB5),2),Sheet3!$D$1:$E$7,2,0))</f>
        <v/>
      </c>
      <c r="NC6" s="10" t="str">
        <f>IF(NC$5="","",VLOOKUP(WEEKDAY(DATE($A$2,$A$3+$A$1-1,NC5),2),Sheet3!$D$1:$E$7,2,0))</f>
        <v/>
      </c>
      <c r="ND6" s="10" t="str">
        <f>IF(ND$5="","",VLOOKUP(WEEKDAY(DATE($A$2,$A$3+$A$1-1,ND5),2),Sheet3!$D$1:$E$7,2,0))</f>
        <v/>
      </c>
      <c r="NE6" s="10" t="str">
        <f>IF(NE$5="","",VLOOKUP(WEEKDAY(DATE($A$2,$A$3+$A$1-1,NE5),2),Sheet3!$D$1:$E$7,2,0))</f>
        <v/>
      </c>
      <c r="NF6" s="10" t="str">
        <f>IF(NF$5="","",VLOOKUP(WEEKDAY(DATE($A$2,$A$3+$A$1-1,NF5),2),Sheet3!$D$1:$E$7,2,0))</f>
        <v/>
      </c>
      <c r="NG6" s="10" t="str">
        <f>IF(NG$5="","",VLOOKUP(WEEKDAY(DATE($A$2,$A$3+$A$1-1,NG5),2),Sheet3!$D$1:$E$7,2,0))</f>
        <v/>
      </c>
      <c r="NH6" s="10" t="str">
        <f>IF(NH$5="","",VLOOKUP(WEEKDAY(DATE($A$2,$A$3+$A$1-1,NH5),2),Sheet3!$D$1:$E$7,2,0))</f>
        <v/>
      </c>
      <c r="NI6" s="10" t="str">
        <f>IF(NI$5="","",VLOOKUP(WEEKDAY(DATE($A$2,$A$3+$A$1-1,NI5),2),Sheet3!$D$1:$E$7,2,0))</f>
        <v/>
      </c>
      <c r="NJ6" s="40"/>
      <c r="NK6" s="42"/>
      <c r="NL6" s="38"/>
      <c r="NM6" s="38"/>
      <c r="NN6" s="38"/>
      <c r="NO6" s="38"/>
      <c r="NP6" s="37"/>
      <c r="NQ6" s="37"/>
      <c r="NR6" s="37"/>
      <c r="NS6" s="37"/>
      <c r="NT6" s="37"/>
      <c r="NU6" s="37"/>
      <c r="NW6" s="30" t="s">
        <v>72</v>
      </c>
      <c r="NX6" s="30" t="s">
        <v>73</v>
      </c>
    </row>
    <row r="7" spans="1:761" hidden="1" x14ac:dyDescent="0.3">
      <c r="A7" s="4" t="s">
        <v>18</v>
      </c>
      <c r="B7" s="24" t="e">
        <f>IF(B$5="","",WEEKNUM(DATE($A$2,VLOOKUP($A$1,Sheet3!$A$1:$B$12,2,0),COLUMNS($A$6:A6)),2))</f>
        <v>#N/A</v>
      </c>
      <c r="C7" s="24" t="e">
        <f>IF(C$5="","",WEEKNUM(DATE($A$2,VLOOKUP($A$1,Sheet3!$A$1:$B$12,2,0),COLUMNS($A$6:B6)),2))</f>
        <v>#N/A</v>
      </c>
      <c r="D7" s="24" t="e">
        <f>IF(D$5="","",WEEKNUM(DATE($A$2,VLOOKUP($A$1,Sheet3!$A$1:$B$12,2,0),COLUMNS($A$6:C6)),2))</f>
        <v>#N/A</v>
      </c>
      <c r="E7" s="24" t="e">
        <f>IF(E$5="","",WEEKNUM(DATE($A$2,VLOOKUP($A$1,Sheet3!$A$1:$B$12,2,0),COLUMNS($A$6:D6)),2))</f>
        <v>#N/A</v>
      </c>
      <c r="F7" s="24" t="e">
        <f>IF(F$5="","",WEEKNUM(DATE($A$2,VLOOKUP($A$1,Sheet3!$A$1:$B$12,2,0),COLUMNS($A$6:E6)),2))</f>
        <v>#N/A</v>
      </c>
      <c r="G7" s="24" t="e">
        <f>IF(G$5="","",WEEKNUM(DATE($A$2,VLOOKUP($A$1,Sheet3!$A$1:$B$12,2,0),COLUMNS($A$6:F6)),2))</f>
        <v>#N/A</v>
      </c>
      <c r="H7" s="24" t="e">
        <f>IF(H$5="","",WEEKNUM(DATE($A$2,VLOOKUP($A$1,Sheet3!$A$1:$B$12,2,0),COLUMNS($A$6:G6)),2))</f>
        <v>#N/A</v>
      </c>
      <c r="I7" s="24" t="e">
        <f>IF(I$5="","",WEEKNUM(DATE($A$2,VLOOKUP($A$1,Sheet3!$A$1:$B$12,2,0),COLUMNS($A$6:H6)),2))</f>
        <v>#N/A</v>
      </c>
      <c r="J7" s="24" t="e">
        <f>IF(J$5="","",WEEKNUM(DATE($A$2,VLOOKUP($A$1,Sheet3!$A$1:$B$12,2,0),COLUMNS($A$6:I6)),2))</f>
        <v>#N/A</v>
      </c>
      <c r="K7" s="24" t="e">
        <f>IF(K$5="","",WEEKNUM(DATE($A$2,VLOOKUP($A$1,Sheet3!$A$1:$B$12,2,0),COLUMNS($A$6:J6)),2))</f>
        <v>#N/A</v>
      </c>
      <c r="L7" s="24" t="e">
        <f>IF(L$5="","",WEEKNUM(DATE($A$2,VLOOKUP($A$1,Sheet3!$A$1:$B$12,2,0),COLUMNS($A$6:K6)),2))</f>
        <v>#N/A</v>
      </c>
      <c r="M7" s="24" t="e">
        <f>IF(M$5="","",WEEKNUM(DATE($A$2,VLOOKUP($A$1,Sheet3!$A$1:$B$12,2,0),COLUMNS($A$6:L6)),2))</f>
        <v>#N/A</v>
      </c>
      <c r="N7" s="24" t="e">
        <f>IF(N$5="","",WEEKNUM(DATE($A$2,VLOOKUP($A$1,Sheet3!$A$1:$B$12,2,0),COLUMNS($A$6:M6)),2))</f>
        <v>#N/A</v>
      </c>
      <c r="O7" s="24" t="e">
        <f>IF(O$5="","",WEEKNUM(DATE($A$2,VLOOKUP($A$1,Sheet3!$A$1:$B$12,2,0),COLUMNS($A$6:N6)),2))</f>
        <v>#N/A</v>
      </c>
      <c r="P7" s="24" t="e">
        <f>IF(P$5="","",WEEKNUM(DATE($A$2,VLOOKUP($A$1,Sheet3!$A$1:$B$12,2,0),COLUMNS($A$6:O6)),2))</f>
        <v>#N/A</v>
      </c>
      <c r="Q7" s="24" t="e">
        <f>IF(Q$5="","",WEEKNUM(DATE($A$2,VLOOKUP($A$1,Sheet3!$A$1:$B$12,2,0),COLUMNS($A$6:P6)),2))</f>
        <v>#N/A</v>
      </c>
      <c r="R7" s="24" t="e">
        <f>IF(R$5="","",WEEKNUM(DATE($A$2,VLOOKUP($A$1,Sheet3!$A$1:$B$12,2,0),COLUMNS($A$6:Q6)),2))</f>
        <v>#N/A</v>
      </c>
      <c r="S7" s="24" t="e">
        <f>IF(S$5="","",WEEKNUM(DATE($A$2,VLOOKUP($A$1,Sheet3!$A$1:$B$12,2,0),COLUMNS($A$6:R6)),2))</f>
        <v>#N/A</v>
      </c>
      <c r="T7" s="24" t="e">
        <f>IF(T$5="","",WEEKNUM(DATE($A$2,VLOOKUP($A$1,Sheet3!$A$1:$B$12,2,0),COLUMNS($A$6:S6)),2))</f>
        <v>#N/A</v>
      </c>
      <c r="U7" s="24" t="e">
        <f>IF(U$5="","",WEEKNUM(DATE($A$2,VLOOKUP($A$1,Sheet3!$A$1:$B$12,2,0),COLUMNS($A$6:T6)),2))</f>
        <v>#N/A</v>
      </c>
      <c r="V7" s="24" t="e">
        <f>IF(V$5="","",WEEKNUM(DATE($A$2,VLOOKUP($A$1,Sheet3!$A$1:$B$12,2,0),COLUMNS($A$6:U6)),2))</f>
        <v>#N/A</v>
      </c>
      <c r="W7" s="24" t="e">
        <f>IF(W$5="","",WEEKNUM(DATE($A$2,VLOOKUP($A$1,Sheet3!$A$1:$B$12,2,0),COLUMNS($A$6:V6)),2))</f>
        <v>#N/A</v>
      </c>
      <c r="X7" s="24" t="e">
        <f>IF(X$5="","",WEEKNUM(DATE($A$2,VLOOKUP($A$1,Sheet3!$A$1:$B$12,2,0),COLUMNS($A$6:W6)),2))</f>
        <v>#N/A</v>
      </c>
      <c r="Y7" s="24" t="e">
        <f>IF(Y$5="","",WEEKNUM(DATE($A$2,VLOOKUP($A$1,Sheet3!$A$1:$B$12,2,0),COLUMNS($A$6:X6)),2))</f>
        <v>#N/A</v>
      </c>
      <c r="Z7" s="24" t="e">
        <f>IF(Z$5="","",WEEKNUM(DATE($A$2,VLOOKUP($A$1,Sheet3!$A$1:$B$12,2,0),COLUMNS($A$6:Y6)),2))</f>
        <v>#N/A</v>
      </c>
      <c r="AA7" s="24" t="e">
        <f>IF(AA$5="","",WEEKNUM(DATE($A$2,VLOOKUP($A$1,Sheet3!$A$1:$B$12,2,0),COLUMNS($A$6:Z6)),2))</f>
        <v>#N/A</v>
      </c>
      <c r="AB7" s="24" t="e">
        <f>IF(AB$5="","",WEEKNUM(DATE($A$2,VLOOKUP($A$1,Sheet3!$A$1:$B$12,2,0),COLUMNS($A$6:AA6)),2))</f>
        <v>#N/A</v>
      </c>
      <c r="AC7" s="24" t="e">
        <f>IF(AC$5="","",WEEKNUM(DATE($A$2,VLOOKUP($A$1,Sheet3!$A$1:$B$12,2,0),COLUMNS($A$6:AB6)),2))</f>
        <v>#N/A</v>
      </c>
      <c r="AD7" s="24" t="e">
        <f>IF(AD$5="","",WEEKNUM(DATE($A$2,VLOOKUP($A$1,Sheet3!$A$1:$B$12,2,0),COLUMNS($A$6:AC6)),2))</f>
        <v>#N/A</v>
      </c>
      <c r="AE7" s="24" t="e">
        <f>IF(AE$5="","",WEEKNUM(DATE($A$2,VLOOKUP($A$1,Sheet3!$A$1:$B$12,2,0),COLUMNS($A$6:AD6)),2))</f>
        <v>#N/A</v>
      </c>
      <c r="AF7" s="24" t="e">
        <f>IF(AF$5="","",WEEKNUM(DATE($A$2,VLOOKUP($A$1,Sheet3!$A$1:$B$12,2,0),COLUMNS($A$6:AE6)),2))</f>
        <v>#N/A</v>
      </c>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5"/>
      <c r="NK7" s="25"/>
      <c r="NL7" s="26"/>
      <c r="NM7" s="26"/>
      <c r="NN7" s="26"/>
      <c r="NO7" s="26"/>
      <c r="NP7" s="26"/>
      <c r="NQ7" s="26"/>
      <c r="NR7" s="26"/>
      <c r="NS7" s="26"/>
      <c r="NT7" s="26"/>
      <c r="NU7" s="26"/>
      <c r="NW7" s="1"/>
      <c r="NX7" s="1"/>
    </row>
    <row r="8" spans="1:761" x14ac:dyDescent="0.3">
      <c r="A8" s="6" t="s">
        <v>40</v>
      </c>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16">
        <f t="array" aca="1" ref="NJ8" ca="1">SUMPRODUCT((OFFSET($A8,0,31*($A$3-1)+1,1,31)&lt;&gt;"")*(IF(OFFSET($A8,0,31*($A$3-1)+1,1,31)=$NX$16,0.5,IF(OFFSET($A8,0,31*($A$3-1)+1,1,31)=$NX$17,0.5,1))*(OFFSET($A$4,0,31*($A$3-1)+1,1,31))))</f>
        <v>0</v>
      </c>
      <c r="NK8" s="22">
        <f t="array" aca="1" ref="NK8" ca="1">SUMPRODUCT((OFFSET($A8,0,1,1,372)&lt;&gt;"")*(IF(OFFSET($A8,0,1,1,372)=$NX$16,0.5,IF(OFFSET($A8,0,1,1,372)=$NX$17,0.5,1))*(OFFSET($A$3,0,1,1,372))))</f>
        <v>0</v>
      </c>
      <c r="NL8" s="27">
        <f t="shared" ref="NL8:NU8" ca="1" si="6">SUMPRODUCT((OFFSET($A8,0,1,1,372)&lt;&gt;"")*(OFFSET($A$3,0,1,1,372))*((OFFSET($A8,0,1,1,372))=NL$5))</f>
        <v>0</v>
      </c>
      <c r="NM8" s="27">
        <f t="shared" ca="1" si="6"/>
        <v>0</v>
      </c>
      <c r="NN8" s="27">
        <f t="shared" ca="1" si="6"/>
        <v>0</v>
      </c>
      <c r="NO8" s="27">
        <f t="shared" ca="1" si="6"/>
        <v>0</v>
      </c>
      <c r="NP8" s="27">
        <f t="shared" ca="1" si="6"/>
        <v>0</v>
      </c>
      <c r="NQ8" s="27">
        <f t="shared" ca="1" si="6"/>
        <v>0</v>
      </c>
      <c r="NR8" s="27">
        <f t="shared" ca="1" si="6"/>
        <v>0</v>
      </c>
      <c r="NS8" s="27">
        <f t="shared" ca="1" si="6"/>
        <v>0</v>
      </c>
      <c r="NT8" s="27">
        <f t="shared" ca="1" si="6"/>
        <v>0</v>
      </c>
      <c r="NU8" s="27">
        <f t="shared" ca="1" si="6"/>
        <v>0</v>
      </c>
      <c r="NW8" s="28" t="s">
        <v>33</v>
      </c>
      <c r="NX8" s="29" t="s">
        <v>36</v>
      </c>
    </row>
    <row r="9" spans="1:761" x14ac:dyDescent="0.3">
      <c r="A9" s="6" t="s">
        <v>41</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16">
        <f t="array" aca="1" ref="NJ9" ca="1">SUMPRODUCT((OFFSET($A9,0,31*($A$3-1)+1,1,31)&lt;&gt;"")*(IF(OFFSET($A9,0,31*($A$3-1)+1,1,31)=$NX$16,0.5,IF(OFFSET($A9,0,31*($A$3-1)+1,1,31)=$NX$17,0.5,1))*(OFFSET($A$4,0,31*($A$3-1)+1,1,31))))</f>
        <v>0</v>
      </c>
      <c r="NK9" s="22">
        <f t="array" aca="1" ref="NK9" ca="1">SUMPRODUCT((OFFSET($A9,0,1,1,372)&lt;&gt;"")*(IF(OFFSET($A9,0,1,1,372)=$NX$16,0.5,IF(OFFSET($A9,0,1,1,372)=$NX$17,0.5,1))*(OFFSET($A$3,0,1,1,372))))</f>
        <v>0</v>
      </c>
      <c r="NL9" s="27">
        <f t="shared" ref="NL9:NQ27" ca="1" si="7">SUMPRODUCT((OFFSET($A9,0,1,1,372)&lt;&gt;"")*(OFFSET($A$3,0,1,1,372))*((OFFSET($A9,0,1,1,372))=NL$5))</f>
        <v>0</v>
      </c>
      <c r="NM9" s="27">
        <f t="shared" ca="1" si="7"/>
        <v>0</v>
      </c>
      <c r="NN9" s="27">
        <f t="shared" ca="1" si="7"/>
        <v>0</v>
      </c>
      <c r="NO9" s="27">
        <f t="shared" ca="1" si="7"/>
        <v>0</v>
      </c>
      <c r="NP9" s="27">
        <f t="shared" ca="1" si="7"/>
        <v>0</v>
      </c>
      <c r="NQ9" s="27">
        <f t="shared" ca="1" si="7"/>
        <v>0</v>
      </c>
      <c r="NR9" s="27">
        <f t="shared" ref="NR9:NU27" ca="1" si="8">SUMPRODUCT((OFFSET($A9,0,1,1,372)&lt;&gt;"")*(OFFSET($A$3,0,1,1,372))*((OFFSET($A9,0,1,1,372))=NR$5))</f>
        <v>0</v>
      </c>
      <c r="NS9" s="27">
        <f t="shared" ca="1" si="8"/>
        <v>0</v>
      </c>
      <c r="NT9" s="27">
        <f t="shared" ca="1" si="8"/>
        <v>0</v>
      </c>
      <c r="NU9" s="27">
        <f t="shared" ca="1" si="8"/>
        <v>0</v>
      </c>
      <c r="NW9" s="28" t="s">
        <v>34</v>
      </c>
      <c r="NX9" s="29" t="s">
        <v>37</v>
      </c>
    </row>
    <row r="10" spans="1:761" x14ac:dyDescent="0.3">
      <c r="A10" s="6" t="s">
        <v>42</v>
      </c>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16">
        <f t="array" aca="1" ref="NJ10" ca="1">SUMPRODUCT((OFFSET($A10,0,31*($A$3-1)+1,1,31)&lt;&gt;"")*(IF(OFFSET($A10,0,31*($A$3-1)+1,1,31)=$NX$16,0.5,IF(OFFSET($A10,0,31*($A$3-1)+1,1,31)=$NX$17,0.5,1))*(OFFSET($A$4,0,31*($A$3-1)+1,1,31))))</f>
        <v>0</v>
      </c>
      <c r="NK10" s="22">
        <f t="array" aca="1" ref="NK10" ca="1">SUMPRODUCT((OFFSET($A10,0,1,1,372)&lt;&gt;"")*(IF(OFFSET($A10,0,1,1,372)=$NX$16,0.5,IF(OFFSET($A10,0,1,1,372)=$NX$17,0.5,1))*(OFFSET($A$3,0,1,1,372))))</f>
        <v>0</v>
      </c>
      <c r="NL10" s="27">
        <f t="shared" ca="1" si="7"/>
        <v>0</v>
      </c>
      <c r="NM10" s="27">
        <f t="shared" ca="1" si="7"/>
        <v>0</v>
      </c>
      <c r="NN10" s="27">
        <f t="shared" ca="1" si="7"/>
        <v>0</v>
      </c>
      <c r="NO10" s="27">
        <f t="shared" ca="1" si="7"/>
        <v>0</v>
      </c>
      <c r="NP10" s="27">
        <f t="shared" ca="1" si="7"/>
        <v>0</v>
      </c>
      <c r="NQ10" s="27">
        <f t="shared" ca="1" si="7"/>
        <v>0</v>
      </c>
      <c r="NR10" s="27">
        <f t="shared" ca="1" si="8"/>
        <v>0</v>
      </c>
      <c r="NS10" s="27">
        <f t="shared" ca="1" si="8"/>
        <v>0</v>
      </c>
      <c r="NT10" s="27">
        <f t="shared" ca="1" si="8"/>
        <v>0</v>
      </c>
      <c r="NU10" s="27">
        <f t="shared" ca="1" si="8"/>
        <v>0</v>
      </c>
      <c r="NW10" s="20" t="s">
        <v>51</v>
      </c>
      <c r="NX10" s="29" t="s">
        <v>38</v>
      </c>
    </row>
    <row r="11" spans="1:761" x14ac:dyDescent="0.3">
      <c r="A11" s="6" t="s">
        <v>43</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16">
        <f t="array" aca="1" ref="NJ11" ca="1">SUMPRODUCT((OFFSET($A11,0,31*($A$3-1)+1,1,31)&lt;&gt;"")*(IF(OFFSET($A11,0,31*($A$3-1)+1,1,31)=$NX$16,0.5,IF(OFFSET($A11,0,31*($A$3-1)+1,1,31)=$NX$17,0.5,1))*(OFFSET($A$4,0,31*($A$3-1)+1,1,31))))</f>
        <v>0</v>
      </c>
      <c r="NK11" s="22">
        <f t="array" aca="1" ref="NK11" ca="1">SUMPRODUCT((OFFSET($A11,0,1,1,372)&lt;&gt;"")*(IF(OFFSET($A11,0,1,1,372)=$NX$16,0.5,IF(OFFSET($A11,0,1,1,372)=$NX$17,0.5,1))*(OFFSET($A$3,0,1,1,372))))</f>
        <v>0</v>
      </c>
      <c r="NL11" s="27">
        <f t="shared" ca="1" si="7"/>
        <v>0</v>
      </c>
      <c r="NM11" s="27">
        <f t="shared" ca="1" si="7"/>
        <v>0</v>
      </c>
      <c r="NN11" s="27">
        <f t="shared" ca="1" si="7"/>
        <v>0</v>
      </c>
      <c r="NO11" s="27">
        <f t="shared" ca="1" si="7"/>
        <v>0</v>
      </c>
      <c r="NP11" s="27">
        <f t="shared" ca="1" si="7"/>
        <v>0</v>
      </c>
      <c r="NQ11" s="27">
        <f t="shared" ca="1" si="7"/>
        <v>0</v>
      </c>
      <c r="NR11" s="27">
        <f t="shared" ca="1" si="8"/>
        <v>0</v>
      </c>
      <c r="NS11" s="27">
        <f t="shared" ca="1" si="8"/>
        <v>0</v>
      </c>
      <c r="NT11" s="27">
        <f t="shared" ca="1" si="8"/>
        <v>0</v>
      </c>
      <c r="NU11" s="27">
        <f t="shared" ca="1" si="8"/>
        <v>0</v>
      </c>
      <c r="NW11" s="20" t="s">
        <v>70</v>
      </c>
      <c r="NX11" s="29" t="s">
        <v>71</v>
      </c>
    </row>
    <row r="12" spans="1:761" x14ac:dyDescent="0.3">
      <c r="A12" s="6" t="s">
        <v>44</v>
      </c>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16">
        <f t="array" aca="1" ref="NJ12" ca="1">SUMPRODUCT((OFFSET($A12,0,31*($A$3-1)+1,1,31)&lt;&gt;"")*(IF(OFFSET($A12,0,31*($A$3-1)+1,1,31)=$NX$16,0.5,IF(OFFSET($A12,0,31*($A$3-1)+1,1,31)=$NX$17,0.5,1))*(OFFSET($A$4,0,31*($A$3-1)+1,1,31))))</f>
        <v>0</v>
      </c>
      <c r="NK12" s="22">
        <f t="array" aca="1" ref="NK12" ca="1">SUMPRODUCT((OFFSET($A12,0,1,1,372)&lt;&gt;"")*(IF(OFFSET($A12,0,1,1,372)=$NX$16,0.5,IF(OFFSET($A12,0,1,1,372)=$NX$17,0.5,1))*(OFFSET($A$3,0,1,1,372))))</f>
        <v>0</v>
      </c>
      <c r="NL12" s="27">
        <f t="shared" ca="1" si="7"/>
        <v>0</v>
      </c>
      <c r="NM12" s="27">
        <f t="shared" ca="1" si="7"/>
        <v>0</v>
      </c>
      <c r="NN12" s="27">
        <f t="shared" ca="1" si="7"/>
        <v>0</v>
      </c>
      <c r="NO12" s="27">
        <f t="shared" ca="1" si="7"/>
        <v>0</v>
      </c>
      <c r="NP12" s="27">
        <f t="shared" ca="1" si="7"/>
        <v>0</v>
      </c>
      <c r="NQ12" s="27">
        <f t="shared" ca="1" si="7"/>
        <v>0</v>
      </c>
      <c r="NR12" s="27">
        <f t="shared" ca="1" si="8"/>
        <v>0</v>
      </c>
      <c r="NS12" s="27">
        <f t="shared" ca="1" si="8"/>
        <v>0</v>
      </c>
      <c r="NT12" s="27">
        <f t="shared" ca="1" si="8"/>
        <v>0</v>
      </c>
      <c r="NU12" s="27">
        <f t="shared" ca="1" si="8"/>
        <v>0</v>
      </c>
      <c r="NW12" s="20" t="s">
        <v>35</v>
      </c>
      <c r="NX12" s="29" t="s">
        <v>39</v>
      </c>
    </row>
    <row r="13" spans="1:761" x14ac:dyDescent="0.3">
      <c r="A13" s="6" t="s">
        <v>45</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16">
        <f t="array" aca="1" ref="NJ13" ca="1">SUMPRODUCT((OFFSET($A13,0,31*($A$3-1)+1,1,31)&lt;&gt;"")*(IF(OFFSET($A13,0,31*($A$3-1)+1,1,31)=$NX$16,0.5,IF(OFFSET($A13,0,31*($A$3-1)+1,1,31)=$NX$17,0.5,1))*(OFFSET($A$4,0,31*($A$3-1)+1,1,31))))</f>
        <v>0</v>
      </c>
      <c r="NK13" s="22">
        <f t="array" aca="1" ref="NK13" ca="1">SUMPRODUCT((OFFSET($A13,0,1,1,372)&lt;&gt;"")*(IF(OFFSET($A13,0,1,1,372)=$NX$16,0.5,IF(OFFSET($A13,0,1,1,372)=$NX$17,0.5,1))*(OFFSET($A$3,0,1,1,372))))</f>
        <v>0</v>
      </c>
      <c r="NL13" s="27">
        <f t="shared" ca="1" si="7"/>
        <v>0</v>
      </c>
      <c r="NM13" s="27">
        <f t="shared" ca="1" si="7"/>
        <v>0</v>
      </c>
      <c r="NN13" s="27">
        <f t="shared" ca="1" si="7"/>
        <v>0</v>
      </c>
      <c r="NO13" s="27">
        <f t="shared" ca="1" si="7"/>
        <v>0</v>
      </c>
      <c r="NP13" s="27">
        <f t="shared" ca="1" si="7"/>
        <v>0</v>
      </c>
      <c r="NQ13" s="27">
        <f t="shared" ca="1" si="7"/>
        <v>0</v>
      </c>
      <c r="NR13" s="27">
        <f t="shared" ca="1" si="8"/>
        <v>0</v>
      </c>
      <c r="NS13" s="27">
        <f t="shared" ca="1" si="8"/>
        <v>0</v>
      </c>
      <c r="NT13" s="27">
        <f t="shared" ca="1" si="8"/>
        <v>0</v>
      </c>
      <c r="NU13" s="27">
        <f t="shared" ca="1" si="8"/>
        <v>0</v>
      </c>
      <c r="NW13" s="28" t="s">
        <v>74</v>
      </c>
      <c r="NX13" s="29" t="s">
        <v>75</v>
      </c>
    </row>
    <row r="14" spans="1:761" x14ac:dyDescent="0.3">
      <c r="A14" s="6" t="s">
        <v>46</v>
      </c>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16">
        <f t="array" aca="1" ref="NJ14" ca="1">SUMPRODUCT((OFFSET($A14,0,31*($A$3-1)+1,1,31)&lt;&gt;"")*(IF(OFFSET($A14,0,31*($A$3-1)+1,1,31)=$NX$16,0.5,IF(OFFSET($A14,0,31*($A$3-1)+1,1,31)=$NX$17,0.5,1))*(OFFSET($A$4,0,31*($A$3-1)+1,1,31))))</f>
        <v>0</v>
      </c>
      <c r="NK14" s="22">
        <f t="array" aca="1" ref="NK14" ca="1">SUMPRODUCT((OFFSET($A14,0,1,1,372)&lt;&gt;"")*(IF(OFFSET($A14,0,1,1,372)=$NX$16,0.5,IF(OFFSET($A14,0,1,1,372)=$NX$17,0.5,1))*(OFFSET($A$3,0,1,1,372))))</f>
        <v>0</v>
      </c>
      <c r="NL14" s="27">
        <f t="shared" ca="1" si="7"/>
        <v>0</v>
      </c>
      <c r="NM14" s="27">
        <f t="shared" ca="1" si="7"/>
        <v>0</v>
      </c>
      <c r="NN14" s="27">
        <f t="shared" ca="1" si="7"/>
        <v>0</v>
      </c>
      <c r="NO14" s="27">
        <f t="shared" ca="1" si="7"/>
        <v>0</v>
      </c>
      <c r="NP14" s="27">
        <f t="shared" ca="1" si="7"/>
        <v>0</v>
      </c>
      <c r="NQ14" s="27">
        <f t="shared" ca="1" si="7"/>
        <v>0</v>
      </c>
      <c r="NR14" s="27">
        <f t="shared" ca="1" si="8"/>
        <v>0</v>
      </c>
      <c r="NS14" s="27">
        <f t="shared" ca="1" si="8"/>
        <v>0</v>
      </c>
      <c r="NT14" s="27">
        <f t="shared" ca="1" si="8"/>
        <v>0</v>
      </c>
      <c r="NU14" s="27">
        <f t="shared" ca="1" si="8"/>
        <v>0</v>
      </c>
      <c r="NW14" s="28" t="s">
        <v>77</v>
      </c>
      <c r="NX14" s="29" t="s">
        <v>76</v>
      </c>
    </row>
    <row r="15" spans="1:761" x14ac:dyDescent="0.3">
      <c r="A15" s="6" t="s">
        <v>47</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16">
        <f t="array" aca="1" ref="NJ15" ca="1">SUMPRODUCT((OFFSET($A15,0,31*($A$3-1)+1,1,31)&lt;&gt;"")*(IF(OFFSET($A15,0,31*($A$3-1)+1,1,31)=$NX$16,0.5,IF(OFFSET($A15,0,31*($A$3-1)+1,1,31)=$NX$17,0.5,1))*(OFFSET($A$4,0,31*($A$3-1)+1,1,31))))</f>
        <v>0</v>
      </c>
      <c r="NK15" s="22">
        <f t="array" aca="1" ref="NK15" ca="1">SUMPRODUCT((OFFSET($A15,0,1,1,372)&lt;&gt;"")*(IF(OFFSET($A15,0,1,1,372)=$NX$16,0.5,IF(OFFSET($A15,0,1,1,372)=$NX$17,0.5,1))*(OFFSET($A$3,0,1,1,372))))</f>
        <v>0</v>
      </c>
      <c r="NL15" s="27">
        <f t="shared" ca="1" si="7"/>
        <v>0</v>
      </c>
      <c r="NM15" s="27">
        <f t="shared" ca="1" si="7"/>
        <v>0</v>
      </c>
      <c r="NN15" s="27">
        <f t="shared" ca="1" si="7"/>
        <v>0</v>
      </c>
      <c r="NO15" s="27">
        <f t="shared" ca="1" si="7"/>
        <v>0</v>
      </c>
      <c r="NP15" s="27">
        <f t="shared" ca="1" si="7"/>
        <v>0</v>
      </c>
      <c r="NQ15" s="27">
        <f t="shared" ca="1" si="7"/>
        <v>0</v>
      </c>
      <c r="NR15" s="27">
        <f t="shared" ca="1" si="8"/>
        <v>0</v>
      </c>
      <c r="NS15" s="27">
        <f t="shared" ca="1" si="8"/>
        <v>0</v>
      </c>
      <c r="NT15" s="27">
        <f t="shared" ca="1" si="8"/>
        <v>0</v>
      </c>
      <c r="NU15" s="27">
        <f t="shared" ca="1" si="8"/>
        <v>0</v>
      </c>
      <c r="NW15" s="20" t="s">
        <v>79</v>
      </c>
      <c r="NX15" s="29" t="s">
        <v>78</v>
      </c>
    </row>
    <row r="16" spans="1:761" x14ac:dyDescent="0.3">
      <c r="A16" s="6" t="s">
        <v>48</v>
      </c>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16">
        <f t="array" aca="1" ref="NJ16" ca="1">SUMPRODUCT((OFFSET($A16,0,31*($A$3-1)+1,1,31)&lt;&gt;"")*(IF(OFFSET($A16,0,31*($A$3-1)+1,1,31)=$NX$16,0.5,IF(OFFSET($A16,0,31*($A$3-1)+1,1,31)=$NX$17,0.5,1))*(OFFSET($A$4,0,31*($A$3-1)+1,1,31))))</f>
        <v>0</v>
      </c>
      <c r="NK16" s="22">
        <f t="array" aca="1" ref="NK16" ca="1">SUMPRODUCT((OFFSET($A16,0,1,1,372)&lt;&gt;"")*(IF(OFFSET($A16,0,1,1,372)=$NX$16,0.5,IF(OFFSET($A16,0,1,1,372)=$NX$17,0.5,1))*(OFFSET($A$3,0,1,1,372))))</f>
        <v>0</v>
      </c>
      <c r="NL16" s="27">
        <f t="shared" ca="1" si="7"/>
        <v>0</v>
      </c>
      <c r="NM16" s="27">
        <f t="shared" ca="1" si="7"/>
        <v>0</v>
      </c>
      <c r="NN16" s="27">
        <f t="shared" ca="1" si="7"/>
        <v>0</v>
      </c>
      <c r="NO16" s="27">
        <f t="shared" ca="1" si="7"/>
        <v>0</v>
      </c>
      <c r="NP16" s="27">
        <f t="shared" ca="1" si="7"/>
        <v>0</v>
      </c>
      <c r="NQ16" s="27">
        <f t="shared" ca="1" si="7"/>
        <v>0</v>
      </c>
      <c r="NR16" s="27">
        <f t="shared" ca="1" si="8"/>
        <v>0</v>
      </c>
      <c r="NS16" s="27">
        <f t="shared" ca="1" si="8"/>
        <v>0</v>
      </c>
      <c r="NT16" s="27">
        <f t="shared" ca="1" si="8"/>
        <v>0</v>
      </c>
      <c r="NU16" s="27">
        <f t="shared" ca="1" si="8"/>
        <v>0</v>
      </c>
      <c r="NW16" s="20" t="s">
        <v>80</v>
      </c>
      <c r="NX16" s="29" t="s">
        <v>68</v>
      </c>
    </row>
    <row r="17" spans="1:388" x14ac:dyDescent="0.3">
      <c r="A17" s="6" t="s">
        <v>49</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16">
        <f t="array" aca="1" ref="NJ17" ca="1">SUMPRODUCT((OFFSET($A17,0,31*($A$3-1)+1,1,31)&lt;&gt;"")*(IF(OFFSET($A17,0,31*($A$3-1)+1,1,31)=$NX$16,0.5,IF(OFFSET($A17,0,31*($A$3-1)+1,1,31)=$NX$17,0.5,1))*(OFFSET($A$4,0,31*($A$3-1)+1,1,31))))</f>
        <v>0</v>
      </c>
      <c r="NK17" s="22">
        <f t="array" aca="1" ref="NK17" ca="1">SUMPRODUCT((OFFSET($A17,0,1,1,372)&lt;&gt;"")*(IF(OFFSET($A17,0,1,1,372)=$NX$16,0.5,IF(OFFSET($A17,0,1,1,372)=$NX$17,0.5,1))*(OFFSET($A$3,0,1,1,372))))</f>
        <v>0</v>
      </c>
      <c r="NL17" s="27">
        <f t="shared" ca="1" si="7"/>
        <v>0</v>
      </c>
      <c r="NM17" s="27">
        <f t="shared" ca="1" si="7"/>
        <v>0</v>
      </c>
      <c r="NN17" s="27">
        <f t="shared" ca="1" si="7"/>
        <v>0</v>
      </c>
      <c r="NO17" s="27">
        <f t="shared" ca="1" si="7"/>
        <v>0</v>
      </c>
      <c r="NP17" s="27">
        <f t="shared" ca="1" si="7"/>
        <v>0</v>
      </c>
      <c r="NQ17" s="27">
        <f t="shared" ca="1" si="7"/>
        <v>0</v>
      </c>
      <c r="NR17" s="27">
        <f t="shared" ca="1" si="8"/>
        <v>0</v>
      </c>
      <c r="NS17" s="27">
        <f t="shared" ca="1" si="8"/>
        <v>0</v>
      </c>
      <c r="NT17" s="27">
        <f t="shared" ca="1" si="8"/>
        <v>0</v>
      </c>
      <c r="NU17" s="27">
        <f t="shared" ca="1" si="8"/>
        <v>0</v>
      </c>
      <c r="NW17" s="20" t="s">
        <v>81</v>
      </c>
      <c r="NX17" s="29" t="s">
        <v>69</v>
      </c>
    </row>
    <row r="18" spans="1:388" x14ac:dyDescent="0.3">
      <c r="A18" s="6" t="s">
        <v>58</v>
      </c>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16">
        <f t="array" aca="1" ref="NJ18" ca="1">SUMPRODUCT((OFFSET($A18,0,31*($A$3-1)+1,1,31)&lt;&gt;"")*(IF(OFFSET($A18,0,31*($A$3-1)+1,1,31)=$NX$16,0.5,IF(OFFSET($A18,0,31*($A$3-1)+1,1,31)=$NX$17,0.5,1))*(OFFSET($A$4,0,31*($A$3-1)+1,1,31))))</f>
        <v>0</v>
      </c>
      <c r="NK18" s="22">
        <f t="array" aca="1" ref="NK18" ca="1">SUMPRODUCT((OFFSET($A18,0,1,1,372)&lt;&gt;"")*(IF(OFFSET($A18,0,1,1,372)=$NX$16,0.5,IF(OFFSET($A18,0,1,1,372)=$NX$17,0.5,1))*(OFFSET($A$3,0,1,1,372))))</f>
        <v>0</v>
      </c>
      <c r="NL18" s="27">
        <f t="shared" ca="1" si="7"/>
        <v>0</v>
      </c>
      <c r="NM18" s="27">
        <f t="shared" ca="1" si="7"/>
        <v>0</v>
      </c>
      <c r="NN18" s="27">
        <f t="shared" ca="1" si="7"/>
        <v>0</v>
      </c>
      <c r="NO18" s="27">
        <f t="shared" ca="1" si="7"/>
        <v>0</v>
      </c>
      <c r="NP18" s="27">
        <f t="shared" ca="1" si="7"/>
        <v>0</v>
      </c>
      <c r="NQ18" s="27">
        <f t="shared" ca="1" si="7"/>
        <v>0</v>
      </c>
      <c r="NR18" s="27">
        <f t="shared" ca="1" si="8"/>
        <v>0</v>
      </c>
      <c r="NS18" s="27">
        <f t="shared" ca="1" si="8"/>
        <v>0</v>
      </c>
      <c r="NT18" s="27">
        <f t="shared" ca="1" si="8"/>
        <v>0</v>
      </c>
      <c r="NU18" s="27">
        <f t="shared" ca="1" si="8"/>
        <v>0</v>
      </c>
    </row>
    <row r="19" spans="1:388" x14ac:dyDescent="0.3">
      <c r="A19" s="6" t="s">
        <v>59</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16">
        <f t="array" aca="1" ref="NJ19" ca="1">SUMPRODUCT((OFFSET($A19,0,31*($A$3-1)+1,1,31)&lt;&gt;"")*(IF(OFFSET($A19,0,31*($A$3-1)+1,1,31)=$NX$16,0.5,IF(OFFSET($A19,0,31*($A$3-1)+1,1,31)=$NX$17,0.5,1))*(OFFSET($A$4,0,31*($A$3-1)+1,1,31))))</f>
        <v>0</v>
      </c>
      <c r="NK19" s="22">
        <f t="array" aca="1" ref="NK19" ca="1">SUMPRODUCT((OFFSET($A19,0,1,1,372)&lt;&gt;"")*(IF(OFFSET($A19,0,1,1,372)=$NX$16,0.5,IF(OFFSET($A19,0,1,1,372)=$NX$17,0.5,1))*(OFFSET($A$3,0,1,1,372))))</f>
        <v>0</v>
      </c>
      <c r="NL19" s="27">
        <f t="shared" ca="1" si="7"/>
        <v>0</v>
      </c>
      <c r="NM19" s="27">
        <f t="shared" ca="1" si="7"/>
        <v>0</v>
      </c>
      <c r="NN19" s="27">
        <f t="shared" ca="1" si="7"/>
        <v>0</v>
      </c>
      <c r="NO19" s="27">
        <f t="shared" ca="1" si="7"/>
        <v>0</v>
      </c>
      <c r="NP19" s="27">
        <f t="shared" ca="1" si="7"/>
        <v>0</v>
      </c>
      <c r="NQ19" s="27">
        <f t="shared" ref="NQ19:NQ27" ca="1" si="9">SUMPRODUCT((OFFSET($A19,0,1,1,372)&lt;&gt;"")*(OFFSET($A$3,0,1,1,372))*((OFFSET($A19,0,1,1,372))=NQ$5))</f>
        <v>0</v>
      </c>
      <c r="NR19" s="27">
        <f t="shared" ca="1" si="8"/>
        <v>0</v>
      </c>
      <c r="NS19" s="27">
        <f t="shared" ca="1" si="8"/>
        <v>0</v>
      </c>
      <c r="NT19" s="27">
        <f t="shared" ca="1" si="8"/>
        <v>0</v>
      </c>
      <c r="NU19" s="27">
        <f t="shared" ca="1" si="8"/>
        <v>0</v>
      </c>
    </row>
    <row r="20" spans="1:388" x14ac:dyDescent="0.3">
      <c r="A20" s="6" t="s">
        <v>60</v>
      </c>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16">
        <f t="array" aca="1" ref="NJ20" ca="1">SUMPRODUCT((OFFSET($A20,0,31*($A$3-1)+1,1,31)&lt;&gt;"")*(IF(OFFSET($A20,0,31*($A$3-1)+1,1,31)=$NX$16,0.5,IF(OFFSET($A20,0,31*($A$3-1)+1,1,31)=$NX$17,0.5,1))*(OFFSET($A$4,0,31*($A$3-1)+1,1,31))))</f>
        <v>0</v>
      </c>
      <c r="NK20" s="22">
        <f t="array" aca="1" ref="NK20" ca="1">SUMPRODUCT((OFFSET($A20,0,1,1,372)&lt;&gt;"")*(IF(OFFSET($A20,0,1,1,372)=$NX$16,0.5,IF(OFFSET($A20,0,1,1,372)=$NX$17,0.5,1))*(OFFSET($A$3,0,1,1,372))))</f>
        <v>0</v>
      </c>
      <c r="NL20" s="27">
        <f t="shared" ca="1" si="7"/>
        <v>0</v>
      </c>
      <c r="NM20" s="27">
        <f t="shared" ca="1" si="7"/>
        <v>0</v>
      </c>
      <c r="NN20" s="27">
        <f t="shared" ca="1" si="7"/>
        <v>0</v>
      </c>
      <c r="NO20" s="27">
        <f t="shared" ca="1" si="7"/>
        <v>0</v>
      </c>
      <c r="NP20" s="27">
        <f t="shared" ca="1" si="7"/>
        <v>0</v>
      </c>
      <c r="NQ20" s="27">
        <f t="shared" ca="1" si="9"/>
        <v>0</v>
      </c>
      <c r="NR20" s="27">
        <f t="shared" ca="1" si="8"/>
        <v>0</v>
      </c>
      <c r="NS20" s="27">
        <f t="shared" ca="1" si="8"/>
        <v>0</v>
      </c>
      <c r="NT20" s="27">
        <f t="shared" ca="1" si="8"/>
        <v>0</v>
      </c>
      <c r="NU20" s="27">
        <f t="shared" ca="1" si="8"/>
        <v>0</v>
      </c>
      <c r="NW20" s="19" t="s">
        <v>52</v>
      </c>
      <c r="NX20" s="19"/>
    </row>
    <row r="21" spans="1:388" x14ac:dyDescent="0.3">
      <c r="A21" s="6" t="s">
        <v>61</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16">
        <f t="array" aca="1" ref="NJ21" ca="1">SUMPRODUCT((OFFSET($A21,0,31*($A$3-1)+1,1,31)&lt;&gt;"")*(IF(OFFSET($A21,0,31*($A$3-1)+1,1,31)=$NX$16,0.5,IF(OFFSET($A21,0,31*($A$3-1)+1,1,31)=$NX$17,0.5,1))*(OFFSET($A$4,0,31*($A$3-1)+1,1,31))))</f>
        <v>0</v>
      </c>
      <c r="NK21" s="22">
        <f t="array" aca="1" ref="NK21" ca="1">SUMPRODUCT((OFFSET($A21,0,1,1,372)&lt;&gt;"")*(IF(OFFSET($A21,0,1,1,372)=$NX$16,0.5,IF(OFFSET($A21,0,1,1,372)=$NX$17,0.5,1))*(OFFSET($A$3,0,1,1,372))))</f>
        <v>0</v>
      </c>
      <c r="NL21" s="27">
        <f t="shared" ca="1" si="7"/>
        <v>0</v>
      </c>
      <c r="NM21" s="27">
        <f t="shared" ca="1" si="7"/>
        <v>0</v>
      </c>
      <c r="NN21" s="27">
        <f t="shared" ca="1" si="7"/>
        <v>0</v>
      </c>
      <c r="NO21" s="27">
        <f t="shared" ca="1" si="7"/>
        <v>0</v>
      </c>
      <c r="NP21" s="27">
        <f t="shared" ca="1" si="7"/>
        <v>0</v>
      </c>
      <c r="NQ21" s="27">
        <f t="shared" ca="1" si="9"/>
        <v>0</v>
      </c>
      <c r="NR21" s="27">
        <f t="shared" ca="1" si="8"/>
        <v>0</v>
      </c>
      <c r="NS21" s="27">
        <f t="shared" ca="1" si="8"/>
        <v>0</v>
      </c>
      <c r="NT21" s="27">
        <f t="shared" ca="1" si="8"/>
        <v>0</v>
      </c>
      <c r="NU21" s="27">
        <f t="shared" ca="1" si="8"/>
        <v>0</v>
      </c>
      <c r="NW21" s="18" t="s">
        <v>11</v>
      </c>
      <c r="NX21" s="18" t="s">
        <v>54</v>
      </c>
    </row>
    <row r="22" spans="1:388" x14ac:dyDescent="0.3">
      <c r="A22" s="6" t="s">
        <v>62</v>
      </c>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16">
        <f t="array" aca="1" ref="NJ22" ca="1">SUMPRODUCT((OFFSET($A22,0,31*($A$3-1)+1,1,31)&lt;&gt;"")*(IF(OFFSET($A22,0,31*($A$3-1)+1,1,31)=$NX$16,0.5,IF(OFFSET($A22,0,31*($A$3-1)+1,1,31)=$NX$17,0.5,1))*(OFFSET($A$4,0,31*($A$3-1)+1,1,31))))</f>
        <v>0</v>
      </c>
      <c r="NK22" s="22">
        <f t="array" aca="1" ref="NK22" ca="1">SUMPRODUCT((OFFSET($A22,0,1,1,372)&lt;&gt;"")*(IF(OFFSET($A22,0,1,1,372)=$NX$16,0.5,IF(OFFSET($A22,0,1,1,372)=$NX$17,0.5,1))*(OFFSET($A$3,0,1,1,372))))</f>
        <v>0</v>
      </c>
      <c r="NL22" s="27">
        <f t="shared" ca="1" si="7"/>
        <v>0</v>
      </c>
      <c r="NM22" s="27">
        <f t="shared" ca="1" si="7"/>
        <v>0</v>
      </c>
      <c r="NN22" s="27">
        <f t="shared" ca="1" si="7"/>
        <v>0</v>
      </c>
      <c r="NO22" s="27">
        <f t="shared" ca="1" si="7"/>
        <v>0</v>
      </c>
      <c r="NP22" s="27">
        <f t="shared" ca="1" si="7"/>
        <v>0</v>
      </c>
      <c r="NQ22" s="27">
        <f t="shared" ca="1" si="9"/>
        <v>0</v>
      </c>
      <c r="NR22" s="27">
        <f t="shared" ca="1" si="8"/>
        <v>0</v>
      </c>
      <c r="NS22" s="27">
        <f t="shared" ca="1" si="8"/>
        <v>0</v>
      </c>
      <c r="NT22" s="27">
        <f t="shared" ca="1" si="8"/>
        <v>0</v>
      </c>
      <c r="NU22" s="27">
        <f t="shared" ca="1" si="8"/>
        <v>0</v>
      </c>
      <c r="NW22" s="18" t="s">
        <v>12</v>
      </c>
      <c r="NX22" s="18" t="s">
        <v>54</v>
      </c>
    </row>
    <row r="23" spans="1:388" x14ac:dyDescent="0.3">
      <c r="A23" s="6" t="s">
        <v>63</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16">
        <f t="array" aca="1" ref="NJ23" ca="1">SUMPRODUCT((OFFSET($A23,0,31*($A$3-1)+1,1,31)&lt;&gt;"")*(IF(OFFSET($A23,0,31*($A$3-1)+1,1,31)=$NX$16,0.5,IF(OFFSET($A23,0,31*($A$3-1)+1,1,31)=$NX$17,0.5,1))*(OFFSET($A$4,0,31*($A$3-1)+1,1,31))))</f>
        <v>0</v>
      </c>
      <c r="NK23" s="22">
        <f t="array" aca="1" ref="NK23" ca="1">SUMPRODUCT((OFFSET($A23,0,1,1,372)&lt;&gt;"")*(IF(OFFSET($A23,0,1,1,372)=$NX$16,0.5,IF(OFFSET($A23,0,1,1,372)=$NX$17,0.5,1))*(OFFSET($A$3,0,1,1,372))))</f>
        <v>0</v>
      </c>
      <c r="NL23" s="27">
        <f t="shared" ca="1" si="7"/>
        <v>0</v>
      </c>
      <c r="NM23" s="27">
        <f t="shared" ca="1" si="7"/>
        <v>0</v>
      </c>
      <c r="NN23" s="27">
        <f t="shared" ca="1" si="7"/>
        <v>0</v>
      </c>
      <c r="NO23" s="27">
        <f t="shared" ca="1" si="7"/>
        <v>0</v>
      </c>
      <c r="NP23" s="27">
        <f t="shared" ca="1" si="7"/>
        <v>0</v>
      </c>
      <c r="NQ23" s="27">
        <f t="shared" ca="1" si="9"/>
        <v>0</v>
      </c>
      <c r="NR23" s="27">
        <f t="shared" ca="1" si="8"/>
        <v>0</v>
      </c>
      <c r="NS23" s="27">
        <f t="shared" ca="1" si="8"/>
        <v>0</v>
      </c>
      <c r="NT23" s="27">
        <f t="shared" ca="1" si="8"/>
        <v>0</v>
      </c>
      <c r="NU23" s="27">
        <f t="shared" ca="1" si="8"/>
        <v>0</v>
      </c>
      <c r="NW23" s="18" t="s">
        <v>13</v>
      </c>
      <c r="NX23" s="18" t="s">
        <v>54</v>
      </c>
    </row>
    <row r="24" spans="1:388" x14ac:dyDescent="0.3">
      <c r="A24" s="6" t="s">
        <v>64</v>
      </c>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16">
        <f t="array" aca="1" ref="NJ24" ca="1">SUMPRODUCT((OFFSET($A24,0,31*($A$3-1)+1,1,31)&lt;&gt;"")*(IF(OFFSET($A24,0,31*($A$3-1)+1,1,31)=$NX$16,0.5,IF(OFFSET($A24,0,31*($A$3-1)+1,1,31)=$NX$17,0.5,1))*(OFFSET($A$4,0,31*($A$3-1)+1,1,31))))</f>
        <v>0</v>
      </c>
      <c r="NK24" s="22">
        <f t="array" aca="1" ref="NK24" ca="1">SUMPRODUCT((OFFSET($A24,0,1,1,372)&lt;&gt;"")*(IF(OFFSET($A24,0,1,1,372)=$NX$16,0.5,IF(OFFSET($A24,0,1,1,372)=$NX$17,0.5,1))*(OFFSET($A$3,0,1,1,372))))</f>
        <v>0</v>
      </c>
      <c r="NL24" s="27">
        <f t="shared" ca="1" si="7"/>
        <v>0</v>
      </c>
      <c r="NM24" s="27">
        <f t="shared" ca="1" si="7"/>
        <v>0</v>
      </c>
      <c r="NN24" s="27">
        <f t="shared" ca="1" si="7"/>
        <v>0</v>
      </c>
      <c r="NO24" s="27">
        <f t="shared" ca="1" si="7"/>
        <v>0</v>
      </c>
      <c r="NP24" s="27">
        <f t="shared" ca="1" si="7"/>
        <v>0</v>
      </c>
      <c r="NQ24" s="27">
        <f t="shared" ca="1" si="9"/>
        <v>0</v>
      </c>
      <c r="NR24" s="27">
        <f t="shared" ca="1" si="8"/>
        <v>0</v>
      </c>
      <c r="NS24" s="27">
        <f t="shared" ca="1" si="8"/>
        <v>0</v>
      </c>
      <c r="NT24" s="27">
        <f t="shared" ca="1" si="8"/>
        <v>0</v>
      </c>
      <c r="NU24" s="27">
        <f t="shared" ca="1" si="8"/>
        <v>0</v>
      </c>
      <c r="NW24" s="18" t="s">
        <v>14</v>
      </c>
      <c r="NX24" s="18" t="s">
        <v>54</v>
      </c>
    </row>
    <row r="25" spans="1:388" x14ac:dyDescent="0.3">
      <c r="A25" s="6" t="s">
        <v>65</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16">
        <f t="array" aca="1" ref="NJ25" ca="1">SUMPRODUCT((OFFSET($A25,0,31*($A$3-1)+1,1,31)&lt;&gt;"")*(IF(OFFSET($A25,0,31*($A$3-1)+1,1,31)=$NX$16,0.5,IF(OFFSET($A25,0,31*($A$3-1)+1,1,31)=$NX$17,0.5,1))*(OFFSET($A$4,0,31*($A$3-1)+1,1,31))))</f>
        <v>0</v>
      </c>
      <c r="NK25" s="22">
        <f t="array" aca="1" ref="NK25" ca="1">SUMPRODUCT((OFFSET($A25,0,1,1,372)&lt;&gt;"")*(IF(OFFSET($A25,0,1,1,372)=$NX$16,0.5,IF(OFFSET($A25,0,1,1,372)=$NX$17,0.5,1))*(OFFSET($A$3,0,1,1,372))))</f>
        <v>0</v>
      </c>
      <c r="NL25" s="27">
        <f t="shared" ca="1" si="7"/>
        <v>0</v>
      </c>
      <c r="NM25" s="27">
        <f t="shared" ca="1" si="7"/>
        <v>0</v>
      </c>
      <c r="NN25" s="27">
        <f t="shared" ca="1" si="7"/>
        <v>0</v>
      </c>
      <c r="NO25" s="27">
        <f t="shared" ca="1" si="7"/>
        <v>0</v>
      </c>
      <c r="NP25" s="27">
        <f t="shared" ca="1" si="7"/>
        <v>0</v>
      </c>
      <c r="NQ25" s="27">
        <f t="shared" ca="1" si="9"/>
        <v>0</v>
      </c>
      <c r="NR25" s="27">
        <f t="shared" ca="1" si="8"/>
        <v>0</v>
      </c>
      <c r="NS25" s="27">
        <f t="shared" ca="1" si="8"/>
        <v>0</v>
      </c>
      <c r="NT25" s="27">
        <f t="shared" ca="1" si="8"/>
        <v>0</v>
      </c>
      <c r="NU25" s="27">
        <f t="shared" ca="1" si="8"/>
        <v>0</v>
      </c>
      <c r="NW25" s="18" t="s">
        <v>15</v>
      </c>
      <c r="NX25" s="18" t="s">
        <v>54</v>
      </c>
    </row>
    <row r="26" spans="1:388" x14ac:dyDescent="0.3">
      <c r="A26" s="6" t="s">
        <v>66</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16">
        <f t="array" aca="1" ref="NJ26" ca="1">SUMPRODUCT((OFFSET($A26,0,31*($A$3-1)+1,1,31)&lt;&gt;"")*(IF(OFFSET($A26,0,31*($A$3-1)+1,1,31)=$NX$16,0.5,IF(OFFSET($A26,0,31*($A$3-1)+1,1,31)=$NX$17,0.5,1))*(OFFSET($A$4,0,31*($A$3-1)+1,1,31))))</f>
        <v>0</v>
      </c>
      <c r="NK26" s="22">
        <f t="array" aca="1" ref="NK26" ca="1">SUMPRODUCT((OFFSET($A26,0,1,1,372)&lt;&gt;"")*(IF(OFFSET($A26,0,1,1,372)=$NX$16,0.5,IF(OFFSET($A26,0,1,1,372)=$NX$17,0.5,1))*(OFFSET($A$3,0,1,1,372))))</f>
        <v>0</v>
      </c>
      <c r="NL26" s="27">
        <f t="shared" ca="1" si="7"/>
        <v>0</v>
      </c>
      <c r="NM26" s="27">
        <f t="shared" ca="1" si="7"/>
        <v>0</v>
      </c>
      <c r="NN26" s="27">
        <f t="shared" ca="1" si="7"/>
        <v>0</v>
      </c>
      <c r="NO26" s="27">
        <f t="shared" ca="1" si="7"/>
        <v>0</v>
      </c>
      <c r="NP26" s="27">
        <f t="shared" ca="1" si="7"/>
        <v>0</v>
      </c>
      <c r="NQ26" s="27">
        <f t="shared" ca="1" si="9"/>
        <v>0</v>
      </c>
      <c r="NR26" s="27">
        <f t="shared" ca="1" si="8"/>
        <v>0</v>
      </c>
      <c r="NS26" s="27">
        <f t="shared" ca="1" si="8"/>
        <v>0</v>
      </c>
      <c r="NT26" s="27">
        <f t="shared" ca="1" si="8"/>
        <v>0</v>
      </c>
      <c r="NU26" s="27">
        <f t="shared" ca="1" si="8"/>
        <v>0</v>
      </c>
      <c r="NW26" s="18" t="s">
        <v>16</v>
      </c>
      <c r="NX26" s="18" t="s">
        <v>53</v>
      </c>
    </row>
    <row r="27" spans="1:388" x14ac:dyDescent="0.3">
      <c r="A27" s="6" t="s">
        <v>67</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16">
        <f t="array" aca="1" ref="NJ27" ca="1">SUMPRODUCT((OFFSET($A27,0,31*($A$3-1)+1,1,31)&lt;&gt;"")*(IF(OFFSET($A27,0,31*($A$3-1)+1,1,31)=$NX$16,0.5,IF(OFFSET($A27,0,31*($A$3-1)+1,1,31)=$NX$17,0.5,1))*(OFFSET($A$4,0,31*($A$3-1)+1,1,31))))</f>
        <v>0</v>
      </c>
      <c r="NK27" s="22">
        <f t="array" aca="1" ref="NK27" ca="1">SUMPRODUCT((OFFSET($A27,0,1,1,372)&lt;&gt;"")*(IF(OFFSET($A27,0,1,1,372)=$NX$16,0.5,IF(OFFSET($A27,0,1,1,372)=$NX$17,0.5,1))*(OFFSET($A$3,0,1,1,372))))</f>
        <v>0</v>
      </c>
      <c r="NL27" s="27">
        <f t="shared" ca="1" si="7"/>
        <v>0</v>
      </c>
      <c r="NM27" s="27">
        <f t="shared" ca="1" si="7"/>
        <v>0</v>
      </c>
      <c r="NN27" s="27">
        <f t="shared" ca="1" si="7"/>
        <v>0</v>
      </c>
      <c r="NO27" s="27">
        <f t="shared" ca="1" si="7"/>
        <v>0</v>
      </c>
      <c r="NP27" s="27">
        <f t="shared" ca="1" si="7"/>
        <v>0</v>
      </c>
      <c r="NQ27" s="27">
        <f t="shared" ca="1" si="9"/>
        <v>0</v>
      </c>
      <c r="NR27" s="27">
        <f t="shared" ca="1" si="8"/>
        <v>0</v>
      </c>
      <c r="NS27" s="27">
        <f t="shared" ca="1" si="8"/>
        <v>0</v>
      </c>
      <c r="NT27" s="27">
        <f t="shared" ca="1" si="8"/>
        <v>0</v>
      </c>
      <c r="NU27" s="27">
        <f t="shared" ca="1" si="8"/>
        <v>0</v>
      </c>
      <c r="NW27" s="18" t="s">
        <v>17</v>
      </c>
      <c r="NX27" s="18" t="s">
        <v>53</v>
      </c>
    </row>
  </sheetData>
  <mergeCells count="12">
    <mergeCell ref="NO5:NO6"/>
    <mergeCell ref="NP5:NP6"/>
    <mergeCell ref="NJ5:NJ6"/>
    <mergeCell ref="NK5:NK6"/>
    <mergeCell ref="NL5:NL6"/>
    <mergeCell ref="NM5:NM6"/>
    <mergeCell ref="NN5:NN6"/>
    <mergeCell ref="NQ5:NQ6"/>
    <mergeCell ref="NR5:NR6"/>
    <mergeCell ref="NS5:NS6"/>
    <mergeCell ref="NT5:NT6"/>
    <mergeCell ref="NU5:NU6"/>
  </mergeCells>
  <conditionalFormatting sqref="NX21:NX27">
    <cfRule type="expression" dxfId="12" priority="5">
      <formula>NX21="No"</formula>
    </cfRule>
  </conditionalFormatting>
  <conditionalFormatting sqref="B6:NI6">
    <cfRule type="expression" dxfId="11" priority="27">
      <formula>IF(VLOOKUP(B6,$NW$21:$NX$27,2,0)="No",TRUE,FALSE)</formula>
    </cfRule>
  </conditionalFormatting>
  <conditionalFormatting sqref="B8:NI27">
    <cfRule type="expression" dxfId="10" priority="32" stopIfTrue="1">
      <formula>AND(B$5&lt;&gt;"",VLOOKUP(B$6,$NW$21:$NX$27,2,0)&lt;&gt;"Yes")</formula>
    </cfRule>
    <cfRule type="expression" dxfId="9" priority="33" stopIfTrue="1">
      <formula>ISNUMBER(MATCH(DATE($A$2,$A$1+$A$3-1,B$5),HolidayListNamedRange,0))</formula>
    </cfRule>
    <cfRule type="expression" dxfId="8" priority="34">
      <formula>OR(B8=$NX$8,B8=$NX$9,B8=$NX$10,B8=$NX$11,B8=$NX$12,B8=$NX$13,B8=$NX$14,B8=$NX$15)</formula>
    </cfRule>
    <cfRule type="expression" dxfId="7" priority="35">
      <formula>OR(B8=$NX$16,B8=$NX$17)</formula>
    </cfRule>
  </conditionalFormatting>
  <dataValidations count="3">
    <dataValidation type="list" allowBlank="1" showInputMessage="1" showErrorMessage="1" sqref="NX21:NX27">
      <formula1>"Yes, No"</formula1>
    </dataValidation>
    <dataValidation type="custom" allowBlank="1" showErrorMessage="1" errorTitle="Not a Valid Date" error="This isn't a valid Date" sqref="B8:NI27">
      <formula1>B$6&lt;&gt;""</formula1>
    </dataValidation>
    <dataValidation type="list" allowBlank="1" showInputMessage="1" showErrorMessage="1" sqref="A1">
      <formula1>"1,2,3,4,5,6,7,8,9,10,11,12"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2"/>
  <sheetViews>
    <sheetView showGridLines="0" zoomScale="115" zoomScaleNormal="115" workbookViewId="0">
      <selection activeCell="B4" sqref="B4"/>
    </sheetView>
  </sheetViews>
  <sheetFormatPr defaultRowHeight="14.4" x14ac:dyDescent="0.3"/>
  <cols>
    <col min="1" max="1" width="24" bestFit="1" customWidth="1"/>
    <col min="2" max="2" width="12.109375" customWidth="1"/>
    <col min="4" max="4" width="10.44140625" bestFit="1" customWidth="1"/>
  </cols>
  <sheetData>
    <row r="1" spans="1:5" x14ac:dyDescent="0.3">
      <c r="A1" s="12" t="s">
        <v>20</v>
      </c>
      <c r="B1" s="13" t="s">
        <v>21</v>
      </c>
    </row>
    <row r="2" spans="1:5" x14ac:dyDescent="0.3">
      <c r="A2" s="20" t="s">
        <v>22</v>
      </c>
      <c r="B2" s="21">
        <v>43101</v>
      </c>
      <c r="D2" s="7"/>
      <c r="E2" s="9"/>
    </row>
    <row r="3" spans="1:5" x14ac:dyDescent="0.3">
      <c r="A3" s="20" t="s">
        <v>23</v>
      </c>
      <c r="B3" s="21">
        <v>43115</v>
      </c>
      <c r="E3" s="9"/>
    </row>
    <row r="4" spans="1:5" x14ac:dyDescent="0.3">
      <c r="A4" s="20" t="s">
        <v>24</v>
      </c>
      <c r="B4" s="21">
        <v>43150</v>
      </c>
      <c r="E4" s="9"/>
    </row>
    <row r="5" spans="1:5" x14ac:dyDescent="0.3">
      <c r="A5" s="20" t="s">
        <v>25</v>
      </c>
      <c r="B5" s="21">
        <v>43191</v>
      </c>
      <c r="E5" s="9"/>
    </row>
    <row r="6" spans="1:5" x14ac:dyDescent="0.3">
      <c r="A6" s="20" t="s">
        <v>26</v>
      </c>
      <c r="B6" s="21">
        <v>43248</v>
      </c>
      <c r="E6" s="9"/>
    </row>
    <row r="7" spans="1:5" x14ac:dyDescent="0.3">
      <c r="A7" s="20" t="s">
        <v>27</v>
      </c>
      <c r="B7" s="21">
        <v>43285</v>
      </c>
      <c r="E7" s="9"/>
    </row>
    <row r="8" spans="1:5" x14ac:dyDescent="0.3">
      <c r="A8" s="20" t="s">
        <v>28</v>
      </c>
      <c r="B8" s="21">
        <v>43346</v>
      </c>
      <c r="E8" s="9"/>
    </row>
    <row r="9" spans="1:5" x14ac:dyDescent="0.3">
      <c r="A9" s="20" t="s">
        <v>29</v>
      </c>
      <c r="B9" s="21">
        <v>43381</v>
      </c>
      <c r="E9" s="9"/>
    </row>
    <row r="10" spans="1:5" x14ac:dyDescent="0.3">
      <c r="A10" s="20" t="s">
        <v>30</v>
      </c>
      <c r="B10" s="21">
        <v>43416</v>
      </c>
      <c r="E10" s="9"/>
    </row>
    <row r="11" spans="1:5" x14ac:dyDescent="0.3">
      <c r="A11" s="20" t="s">
        <v>31</v>
      </c>
      <c r="B11" s="21">
        <v>43426</v>
      </c>
      <c r="E11" s="9"/>
    </row>
    <row r="12" spans="1:5" x14ac:dyDescent="0.3">
      <c r="A12" s="20" t="s">
        <v>32</v>
      </c>
      <c r="B12" s="21">
        <v>43459</v>
      </c>
      <c r="E12" s="9"/>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
  <sheetViews>
    <sheetView showGridLines="0" workbookViewId="0">
      <selection activeCell="A2" sqref="A2"/>
    </sheetView>
  </sheetViews>
  <sheetFormatPr defaultRowHeight="14.4" x14ac:dyDescent="0.3"/>
  <cols>
    <col min="1" max="1" width="128.6640625" customWidth="1"/>
  </cols>
  <sheetData>
    <row r="1" spans="1:1" ht="21" x14ac:dyDescent="0.3">
      <c r="A1" s="34" t="s">
        <v>82</v>
      </c>
    </row>
    <row r="2" spans="1:1" ht="75" customHeight="1" x14ac:dyDescent="0.3">
      <c r="A2" s="35" t="s">
        <v>83</v>
      </c>
    </row>
    <row r="3" spans="1:1" ht="75" customHeight="1" x14ac:dyDescent="0.3">
      <c r="A3" s="35" t="s">
        <v>84</v>
      </c>
    </row>
    <row r="4" spans="1:1" ht="75" customHeight="1" x14ac:dyDescent="0.3">
      <c r="A4" s="35" t="s">
        <v>85</v>
      </c>
    </row>
    <row r="5" spans="1:1" ht="75" customHeight="1" x14ac:dyDescent="0.3">
      <c r="A5" s="35" t="s">
        <v>86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2"/>
  <sheetViews>
    <sheetView workbookViewId="0">
      <selection activeCell="G2" sqref="G2"/>
    </sheetView>
  </sheetViews>
  <sheetFormatPr defaultRowHeight="14.4" x14ac:dyDescent="0.3"/>
  <cols>
    <col min="7" max="7" width="10.44140625" bestFit="1" customWidth="1"/>
    <col min="9" max="9" width="9.6640625" bestFit="1" customWidth="1"/>
  </cols>
  <sheetData>
    <row r="1" spans="1:9" x14ac:dyDescent="0.3">
      <c r="A1" s="1" t="s">
        <v>19</v>
      </c>
      <c r="B1" s="1">
        <v>1</v>
      </c>
      <c r="D1">
        <v>1</v>
      </c>
      <c r="E1" t="s">
        <v>11</v>
      </c>
      <c r="G1" t="str">
        <f>INDEX($A$1:$A$12,MATCH('Leave Tracker'!$A$1+'Leave Tracker'!$A$3-1,Sheet3!$B$1:$B$12,0))&amp;" "&amp;'Leave Tracker'!$A$2</f>
        <v>January 2018</v>
      </c>
      <c r="H1" s="7"/>
      <c r="I1" s="7"/>
    </row>
    <row r="2" spans="1:9" x14ac:dyDescent="0.3">
      <c r="A2" s="1" t="s">
        <v>0</v>
      </c>
      <c r="B2" s="1">
        <v>2</v>
      </c>
      <c r="D2">
        <v>2</v>
      </c>
      <c r="E2" t="s">
        <v>12</v>
      </c>
      <c r="G2" s="7" t="str">
        <f>INDEX($A$1:$A$12,MATCH(MONTH(DATE('Leave Tracker'!$A$2,'Leave Tracker'!$A$1+'Leave Tracker'!$A$3-1,1)),$B$1:$B$12,0))&amp;" "&amp;YEAR(DATE('Leave Tracker'!$A$2,'Leave Tracker'!$A$1+'Leave Tracker'!$A$3-1,1))</f>
        <v>January 2018</v>
      </c>
    </row>
    <row r="3" spans="1:9" x14ac:dyDescent="0.3">
      <c r="A3" s="1" t="s">
        <v>1</v>
      </c>
      <c r="B3" s="1">
        <v>3</v>
      </c>
      <c r="D3">
        <v>3</v>
      </c>
      <c r="E3" t="s">
        <v>13</v>
      </c>
    </row>
    <row r="4" spans="1:9" x14ac:dyDescent="0.3">
      <c r="A4" s="1" t="s">
        <v>2</v>
      </c>
      <c r="B4" s="1">
        <v>4</v>
      </c>
      <c r="D4">
        <v>4</v>
      </c>
      <c r="E4" t="s">
        <v>14</v>
      </c>
    </row>
    <row r="5" spans="1:9" x14ac:dyDescent="0.3">
      <c r="A5" s="1" t="s">
        <v>3</v>
      </c>
      <c r="B5" s="1">
        <v>5</v>
      </c>
      <c r="D5">
        <v>5</v>
      </c>
      <c r="E5" t="s">
        <v>15</v>
      </c>
    </row>
    <row r="6" spans="1:9" x14ac:dyDescent="0.3">
      <c r="A6" s="1" t="s">
        <v>4</v>
      </c>
      <c r="B6" s="1">
        <v>6</v>
      </c>
      <c r="D6">
        <v>6</v>
      </c>
      <c r="E6" t="s">
        <v>16</v>
      </c>
    </row>
    <row r="7" spans="1:9" x14ac:dyDescent="0.3">
      <c r="A7" s="1" t="s">
        <v>5</v>
      </c>
      <c r="B7" s="1">
        <v>7</v>
      </c>
      <c r="D7">
        <v>7</v>
      </c>
      <c r="E7" t="s">
        <v>17</v>
      </c>
    </row>
    <row r="8" spans="1:9" x14ac:dyDescent="0.3">
      <c r="A8" s="1" t="s">
        <v>6</v>
      </c>
      <c r="B8" s="1">
        <v>8</v>
      </c>
    </row>
    <row r="9" spans="1:9" x14ac:dyDescent="0.3">
      <c r="A9" s="1" t="s">
        <v>7</v>
      </c>
      <c r="B9" s="1">
        <v>9</v>
      </c>
    </row>
    <row r="10" spans="1:9" x14ac:dyDescent="0.3">
      <c r="A10" s="1" t="s">
        <v>8</v>
      </c>
      <c r="B10" s="1">
        <v>10</v>
      </c>
    </row>
    <row r="11" spans="1:9" x14ac:dyDescent="0.3">
      <c r="A11" s="1" t="s">
        <v>9</v>
      </c>
      <c r="B11" s="1">
        <v>11</v>
      </c>
    </row>
    <row r="12" spans="1:9" x14ac:dyDescent="0.3">
      <c r="A12" s="1" t="s">
        <v>10</v>
      </c>
      <c r="B12" s="1">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Leave Tracker</vt:lpstr>
      <vt:lpstr>Holidays</vt:lpstr>
      <vt:lpstr>FAQs</vt:lpstr>
      <vt:lpstr>Sheet3</vt:lpstr>
      <vt:lpstr>HolidayListNamedRange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ADMINIBM</dc:creator>
  <cp:lastModifiedBy>Sumit Bansal</cp:lastModifiedBy>
  <dcterms:created xsi:type="dcterms:W3CDTF">2014-12-17T05:13:13Z</dcterms:created>
  <dcterms:modified xsi:type="dcterms:W3CDTF">2018-03-19T09:47:40Z</dcterms:modified>
</cp:coreProperties>
</file>